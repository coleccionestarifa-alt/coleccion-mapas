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GITHUB\coleccion-mapas\"/>
    </mc:Choice>
  </mc:AlternateContent>
  <xr:revisionPtr revIDLastSave="0" documentId="13_ncr:1_{C9AA9F9D-3E54-452F-AABA-C774817A0D76}" xr6:coauthVersionLast="47" xr6:coauthVersionMax="47" xr10:uidLastSave="{00000000-0000-0000-0000-000000000000}"/>
  <bookViews>
    <workbookView xWindow="-108" yWindow="-108" windowWidth="30936" windowHeight="12576" xr2:uid="{00000000-000D-0000-FFFF-FFFF00000000}"/>
  </bookViews>
  <sheets>
    <sheet name="Mapas" sheetId="1" r:id="rId1"/>
  </sheets>
  <definedNames>
    <definedName name="_xlnm._FilterDatabase" localSheetId="0" hidden="1">Mapas!$A$1:$N$1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8" i="1" l="1"/>
  <c r="J48" i="1"/>
  <c r="I48" i="1"/>
</calcChain>
</file>

<file path=xl/sharedStrings.xml><?xml version="1.0" encoding="utf-8"?>
<sst xmlns="http://schemas.openxmlformats.org/spreadsheetml/2006/main" count="328" uniqueCount="184">
  <si>
    <t>SKU</t>
  </si>
  <si>
    <t>Título</t>
  </si>
  <si>
    <t>Autor/es</t>
  </si>
  <si>
    <t>Fecha del mapa</t>
  </si>
  <si>
    <t>Dimensiones (cm)</t>
  </si>
  <si>
    <t>Coloreado</t>
  </si>
  <si>
    <t>Fecha de compra</t>
  </si>
  <si>
    <t>Vendedor</t>
  </si>
  <si>
    <t>Precio</t>
  </si>
  <si>
    <t>Portes</t>
  </si>
  <si>
    <t>Total</t>
  </si>
  <si>
    <t>Archivador</t>
  </si>
  <si>
    <t>Notas</t>
  </si>
  <si>
    <t>Anotaciones</t>
  </si>
  <si>
    <t>Inglaterra dividida en 5 partes y 52 condados</t>
  </si>
  <si>
    <t>Louis Brion De La Tour / Louis Desnos</t>
  </si>
  <si>
    <t>52 x 33</t>
  </si>
  <si>
    <t>Sí</t>
  </si>
  <si>
    <t>23/09/2020</t>
  </si>
  <si>
    <t>A2</t>
  </si>
  <si>
    <t>"Atlas général, méthodique et élémentaire pour l'étude de la géographie et de l'histoire moderne, dressé. par une Société d'ingénieurs géographes du Roi [principalement par L. Brion de La Tour]. Avec des descriptions historiques et géographiques. par M. Maclot,. Mis au jour et exécuté par le Sr Desnos.armoire......PARIS, 1798"</t>
  </si>
  <si>
    <t>Irlanda dividida en provincias</t>
  </si>
  <si>
    <t>Atlas général, méthodique et élémentaire pour l'étude de la géographie et de l'histoire moderne, dressé. par une Société d'ingénieurs géographes du Roi [principalement par L. Brion de La Tour]. Avec des descriptions historiques et géographiques. par M. Maclot,. Mis au jour et exécuté par le Sr Desnos.armoire......PARIS, 1798 Original grabado en cobre</t>
  </si>
  <si>
    <t>Mapa ANDALUZIA</t>
  </si>
  <si>
    <t>21/10/2020</t>
  </si>
  <si>
    <t>13/03/2020</t>
  </si>
  <si>
    <t>18/03/2021</t>
  </si>
  <si>
    <t>Catawiki - Elybetty</t>
  </si>
  <si>
    <t>América meridional</t>
  </si>
  <si>
    <t>Jacques Chiquet</t>
  </si>
  <si>
    <t>1701-1720</t>
  </si>
  <si>
    <t>13/02/2025</t>
  </si>
  <si>
    <t>Estrecho de Gibraltar</t>
  </si>
  <si>
    <t>Van der Aa / Alvarez de Colmenar</t>
  </si>
  <si>
    <t>08/01/2025</t>
  </si>
  <si>
    <t>Vista de Gibraltar</t>
  </si>
  <si>
    <t>Mapa de la isla de Tahití</t>
  </si>
  <si>
    <t>Jacques Rénaud Bernard</t>
  </si>
  <si>
    <t>1761-1780</t>
  </si>
  <si>
    <t>21/02/2025</t>
  </si>
  <si>
    <t>Mapa de la islas Malvinas</t>
  </si>
  <si>
    <t>Mapa Argentina Austral</t>
  </si>
  <si>
    <t>La Haye / P. de Hondt / J.N. Bellin</t>
  </si>
  <si>
    <t>28/02/2025</t>
  </si>
  <si>
    <t>Mapa Mundi Hérisson</t>
  </si>
  <si>
    <t>1801-1820</t>
  </si>
  <si>
    <t>Australia polo sur</t>
  </si>
  <si>
    <t>Desconocido 1701</t>
  </si>
  <si>
    <t>Mapa Río de la Plata</t>
  </si>
  <si>
    <t>14/03/2025</t>
  </si>
  <si>
    <t>Mapa de la Guyana</t>
  </si>
  <si>
    <t>21/03/2025</t>
  </si>
  <si>
    <t>Mapa de Sudamérica</t>
  </si>
  <si>
    <t>Isaäk Tirion</t>
  </si>
  <si>
    <t>28/03/2025</t>
  </si>
  <si>
    <t>ANTONIO ZATTA</t>
  </si>
  <si>
    <t>América del Sur</t>
  </si>
  <si>
    <t>03/04/2025</t>
  </si>
  <si>
    <t>Rigobert Bonne</t>
  </si>
  <si>
    <t>Mapamundi</t>
  </si>
  <si>
    <t>Hemisferio Septentrional - Desmarest &amp; Bonne</t>
  </si>
  <si>
    <t>13/03/2025</t>
  </si>
  <si>
    <t>Hemisferio Meridional - Desmarest &amp; Bonne</t>
  </si>
  <si>
    <t>Sudamerica</t>
  </si>
  <si>
    <t>ZATTA</t>
  </si>
  <si>
    <t>08/05/2025</t>
  </si>
  <si>
    <t>mapamundi</t>
  </si>
  <si>
    <t>MOUTARD</t>
  </si>
  <si>
    <t>ARGENTINA</t>
  </si>
  <si>
    <t>14/05/2025</t>
  </si>
  <si>
    <t>MOUTARD-DE LA PORTE</t>
  </si>
  <si>
    <t>Amerique Meridionale</t>
  </si>
  <si>
    <t>05/06/2025</t>
  </si>
  <si>
    <t>Mapa Estrecho de Magallanes</t>
  </si>
  <si>
    <t>Bellin</t>
  </si>
  <si>
    <t>1751-1760</t>
  </si>
  <si>
    <t>26/06/2025</t>
  </si>
  <si>
    <t>21/08/2025</t>
  </si>
  <si>
    <t>Argentina</t>
  </si>
  <si>
    <t>ADRIEN BRUE</t>
  </si>
  <si>
    <t>08/01/1</t>
  </si>
  <si>
    <t>Tierra de fuego</t>
  </si>
  <si>
    <t>Vivien Saint Martin</t>
  </si>
  <si>
    <t>12/09/2025</t>
  </si>
  <si>
    <t>Buenos Aires</t>
  </si>
  <si>
    <t>03/10/2025</t>
  </si>
  <si>
    <t>Tierra del Fuego / Patagonia / Chile / Argentina; A. Stieler / G.J. Perthes</t>
  </si>
  <si>
    <t>23/10/2025</t>
  </si>
  <si>
    <t>Sudamérica</t>
  </si>
  <si>
    <t>La Haye</t>
  </si>
  <si>
    <t>Sudamérica Meridional</t>
  </si>
  <si>
    <t>La Haye, P. de Hondt / J.N. Bellin / A.F. Prevost</t>
  </si>
  <si>
    <t>28/10/2025</t>
  </si>
  <si>
    <t>BONNE &amp; DESMAREST</t>
  </si>
  <si>
    <t>25/11/2025</t>
  </si>
  <si>
    <t>S. Augustus Mitchell</t>
  </si>
  <si>
    <t>1851-1860</t>
  </si>
  <si>
    <t>20/02/2026</t>
  </si>
  <si>
    <t>Nicolas BELLIN</t>
  </si>
  <si>
    <t>03/03/2026</t>
  </si>
  <si>
    <t>13/03/2026</t>
  </si>
  <si>
    <t>07/04/2026</t>
  </si>
  <si>
    <t>Tierra Magallánica</t>
  </si>
  <si>
    <t>15/04/2026</t>
  </si>
  <si>
    <t>Ebay-Staffordshirecurious</t>
  </si>
  <si>
    <t>TOTAL</t>
  </si>
  <si>
    <t>Abraham Ortelius (autor) / Turrini (editor)</t>
  </si>
  <si>
    <t>7,5 x 10</t>
  </si>
  <si>
    <t xml:space="preserve">Página 24, mapa de Andalucía, del Atlas de Abraham Ortelius, «Theatrum orbis terrarum», de 1577, impreso en Venecia por Turrini en 1655. </t>
  </si>
  <si>
    <t>Regalado a Ana, la jueza</t>
  </si>
  <si>
    <t>25,5 x 37</t>
  </si>
  <si>
    <t>Carte de la partie Septentrionale d'Afrique ou de la Barbarie</t>
  </si>
  <si>
    <t>M. Bonne (cartógrafo) / Pellet (editor)</t>
  </si>
  <si>
    <t>Mapa original denominado «Mapa de la parte septentrional de África o de la Berbería, con los reinos de Trípoli, Túnez, Argel, Fez y Marruecos», aproximadamente de 1780, tomado del "Atlas de Toutes les Parties Connues du Globe Terrestre… », editado en Ginebra por Pellet. Cartógrafo : M. Bonne. Grabado en cobre, en una doble hoja de 25,5 x 37 cm, en la que la imagen ocupa 21 x 23 cm. Estado excelente.</t>
  </si>
  <si>
    <t>13 x 17</t>
  </si>
  <si>
    <t>Castilia Vetus et Nova - 1635</t>
  </si>
  <si>
    <t>Hondious (cartógrafo) / Merula (editor)</t>
  </si>
  <si>
    <t>Autor: Merula; Mapmaker: Hondius; Editorial: G. Blaeu; Nota: de "Cosmographiae Generalis". Grabado original en cobre.</t>
  </si>
  <si>
    <t>Catawiki - Speculum</t>
  </si>
  <si>
    <t>Catawiki - Cartographiantiqua</t>
  </si>
  <si>
    <t>Catawiki - Mapminded</t>
  </si>
  <si>
    <t>Le Détroit de Gibraltar (1707). Grabado en cobre con mapa y dos vistas de la zona del Estrecho de Gibraltar. Pieter (o Pierre) van der Aa es editor de la obra ´Les royaumes d'Espagne et de Portugal, représentés en tailles-douces tres-exactes, dessinées sur les lieux mémes, qui comprennent les principales villes, forteresses, montagnes, eglises, monastéres, maisons royales, palais …´, primero publicada en neerlandés en la ciudad de Leiden en 1707. Es un libro que contiene 165 grabados numerados con vistas y mapas de regiones y ciudades en España. Ese mismo año apareció la edición francesa de esa obra, que volvería a editarse, también en francés, en 1715 y en 1741. Muy buen estado. Papel limpio y fuerte. Jamás plegado y margenes amplios. Coloreado a mano. Dorso blanco. Imagen 12,5x15cm en hoja de 18x22cm</t>
  </si>
  <si>
    <t>18 x 22</t>
  </si>
  <si>
    <t>Vue de Gibraltar (1707). Vista de Gibraltar, tambien por Van der Aa. Imagen 12,5x15cm en hoja de 18x22cm</t>
  </si>
  <si>
    <t>69 x 55</t>
  </si>
  <si>
    <t>61 x 41</t>
  </si>
  <si>
    <t>46 X 38</t>
  </si>
  <si>
    <t>45 x 36</t>
  </si>
  <si>
    <t>38 x 32</t>
  </si>
  <si>
    <t>67 x 54</t>
  </si>
  <si>
    <t>A3</t>
  </si>
  <si>
    <t>A4</t>
  </si>
  <si>
    <t>42 x 31</t>
  </si>
  <si>
    <t>37 x 28</t>
  </si>
  <si>
    <t>Paraguay, Chili, Terre Magellan</t>
  </si>
  <si>
    <t>Robert de Vaugondy</t>
  </si>
  <si>
    <t>26 x 38,5</t>
  </si>
  <si>
    <t>Carte du Chili, depuis le Sud du Pérou jusqu'au Cap Horn</t>
  </si>
  <si>
    <t>Bonne (cartógrafo) / Raynal (editor)</t>
  </si>
  <si>
    <t>Autor: Raynal; Cartógrafo: Bonne; Editorial: Pellet, Ginebra. Nota: de "Atlas de toutes les parties connues du Globe Terrestre"</t>
  </si>
  <si>
    <t>Catawiki - th map</t>
  </si>
  <si>
    <t>"Histoire generale des Voyages ou nouvelle collection de toutes les relations de voyages par mer et par terre". Nicolas Bellin. París 1747.</t>
  </si>
  <si>
    <t>Carte de l'Ocean Meridional</t>
  </si>
  <si>
    <t>Carte du Bresil et d'une partie des pats Adjacents</t>
  </si>
  <si>
    <t>"ATLAS UNIVERSEL de Geographie Physique, Politique, Ancienne et Moderne, Contenant les Cartes Generales et Particulieres......... A PARIS, 1826 ca."</t>
  </si>
  <si>
    <t>Adrien BRUE</t>
  </si>
  <si>
    <t>Catawiki</t>
  </si>
  <si>
    <t>34,5 x 24,5</t>
  </si>
  <si>
    <t>W.S. Barclay</t>
  </si>
  <si>
    <t>Tierra de Magallanes, con información sobre tribus de Tierra del Fuego. Ejemplar de 1903 de The Geographical Journal, editado por The Royal Geographical Society, Londres.</t>
  </si>
  <si>
    <t>Estrecho de Le Maire o de San Vicente</t>
  </si>
  <si>
    <t>J.N. Bellin &amp; A.F. Prevost</t>
  </si>
  <si>
    <t>35 x 26</t>
  </si>
  <si>
    <t>Original</t>
  </si>
  <si>
    <t>37 x 26</t>
  </si>
  <si>
    <t>FOLIO, es un grabado original en cobre de 1754 (siglo XVIII).</t>
  </si>
  <si>
    <t>Islas Malvinas - Océano Atlántico Sur</t>
  </si>
  <si>
    <t>Carte de Maidenland ou de la Virginie de Hawkins, Découvere par Sir Richard Hawkins en 1574 et du Canal Falklanf ainsi appellé par le Cap.ne Jean Stron qui le traversa en 1689 sur le Farewell Vaisseu de Londres.</t>
  </si>
  <si>
    <t>Robert Bénard / Cook</t>
  </si>
  <si>
    <t>Extremitè Meridionale de l'Amerique</t>
  </si>
  <si>
    <t>"Atlas Encyclopédique, contenant la géographie ancienne, et quatre cartes sur la géographie moderne, et les cartes relatives à la géographie physique......PARÍS, 1787."</t>
  </si>
  <si>
    <t>"Atlas de L'Histoire Philosophique et Politique des Etablissements et du Commerce des Europeens dans les Deux Indes......PARÍS, 1780 ".</t>
  </si>
  <si>
    <t>35 x 25</t>
  </si>
  <si>
    <t>Atlas Complet du précis de la Geographie universelle. Dressé conformément au Texte de cet Ouvrage et sous les Yeux de L'Auteur, par M. Lapie. (Cet Atlas est formé de 75 Cartes).</t>
  </si>
  <si>
    <t>1810/1812</t>
  </si>
  <si>
    <t>Argentina / Chile / Tierra del Fuego / Patagonia / Islas Malvinas</t>
  </si>
  <si>
    <t>Pierre Lapie - Conrad Malte-Brun</t>
  </si>
  <si>
    <t>38 x 26</t>
  </si>
  <si>
    <t>Carte Reduite du Detroit de Magellan</t>
  </si>
  <si>
    <t>1721-1750</t>
  </si>
  <si>
    <t>Carte Reduite du Detroit de Le Maire</t>
  </si>
  <si>
    <t>Histoire Generale des Voyages. Amsterdam, 1747</t>
  </si>
  <si>
    <t>Histoire Generale des Voyages. Amsterdam, 1747. También Estrecho de San Vicente</t>
  </si>
  <si>
    <t>27 x 26</t>
  </si>
  <si>
    <t>Atlas de l'Histoire Philosophique et Politique des Établissements et du Commerce des Européens dans les Deux Indes, París 1780</t>
  </si>
  <si>
    <t>Amerique Meridionale - 1761-1780</t>
  </si>
  <si>
    <t>Pierre M. Lapie / Conrad Malte-Brun</t>
  </si>
  <si>
    <t>Carte de la Riviere de la Plata</t>
  </si>
  <si>
    <t xml:space="preserve"> 1721-1750</t>
  </si>
  <si>
    <t>41 x 26</t>
  </si>
  <si>
    <t>P. de Hondt / J.N. Bellin / A.F. Prevost</t>
  </si>
  <si>
    <t>NOUVEL ATLAS PORTATIF Destiné Principalement pour L'instruction de la Jeunesse. Par Robert de Vaugondy Géographe. Revu, corrigé et augmenté par C. F. Delamarche Géographe</t>
  </si>
  <si>
    <t>Isles Maidenland de Hawkins, et le Detroit de Falkland ces Isles sont  nommees Malouines par les François</t>
  </si>
  <si>
    <t>Atlas Encyclopédique contenant la géographie ancienne et quelques cartes sur la géographie du Moyen-Age, la géographie moderne et les cartes relatives à la géographie physique par M. BONNE et M. DESMARET. Hôtel de Thou, 1787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</si>
</sst>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Century Gothic"/>
    </font>
    <font>
      <sz val="10"/>
      <name val="Century Gothic"/>
    </font>
    <font>
      <b/>
      <sz val="10"/>
      <name val="Century Gothic"/>
    </font>
    <font>
      <sz val="10"/>
      <name val="Century Gothic"/>
      <family val="2"/>
    </font>
  </fonts>
  <fills count="5">
    <fill>
      <patternFill patternType="none"/>
    </fill>
    <fill>
      <patternFill patternType="gray125"/>
    </fill>
    <fill>
      <patternFill patternType="solid">
        <fgColor rgb="FF2E4057"/>
      </patternFill>
    </fill>
    <fill>
      <patternFill patternType="solid">
        <fgColor rgb="FFFFFFFF"/>
      </patternFill>
    </fill>
    <fill>
      <patternFill patternType="solid">
        <fgColor rgb="FFD9E1EA"/>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1">
    <xf numFmtId="0" fontId="0" fillId="0" borderId="0"/>
  </cellStyleXfs>
  <cellXfs count="27">
    <xf numFmtId="0" fontId="0" fillId="0" borderId="0" xfId="0"/>
    <xf numFmtId="0" fontId="2" fillId="3" borderId="1" xfId="0" applyFont="1" applyFill="1" applyBorder="1" applyAlignment="1">
      <alignment horizontal="center" vertical="center"/>
    </xf>
    <xf numFmtId="0" fontId="2" fillId="3" borderId="1" xfId="0" applyFont="1" applyFill="1" applyBorder="1" applyAlignment="1">
      <alignment vertical="center"/>
    </xf>
    <xf numFmtId="0" fontId="3" fillId="4" borderId="1" xfId="0" applyFont="1" applyFill="1" applyBorder="1" applyAlignment="1">
      <alignment horizontal="center" vertical="center"/>
    </xf>
    <xf numFmtId="0" fontId="3" fillId="4" borderId="1" xfId="0" applyFont="1" applyFill="1" applyBorder="1"/>
    <xf numFmtId="4" fontId="3" fillId="4" borderId="1" xfId="0" applyNumberFormat="1" applyFont="1" applyFill="1" applyBorder="1" applyAlignment="1">
      <alignment horizontal="right" vertical="center"/>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2" fillId="0" borderId="3" xfId="0"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center" vertical="center"/>
    </xf>
    <xf numFmtId="0" fontId="4" fillId="0" borderId="1" xfId="0" applyFont="1" applyBorder="1" applyAlignment="1">
      <alignment vertical="center"/>
    </xf>
    <xf numFmtId="4" fontId="2" fillId="0" borderId="1" xfId="0" applyNumberFormat="1" applyFont="1" applyBorder="1" applyAlignment="1">
      <alignment horizontal="right" vertical="center"/>
    </xf>
    <xf numFmtId="0" fontId="2" fillId="0" borderId="4" xfId="0" applyFont="1" applyBorder="1" applyAlignment="1">
      <alignment vertical="center"/>
    </xf>
    <xf numFmtId="0" fontId="4" fillId="0" borderId="1" xfId="0" applyFont="1" applyBorder="1" applyAlignment="1">
      <alignment horizontal="center" vertical="center"/>
    </xf>
    <xf numFmtId="0" fontId="4" fillId="0" borderId="4" xfId="0" applyFont="1" applyBorder="1" applyAlignment="1">
      <alignment vertical="center"/>
    </xf>
    <xf numFmtId="0" fontId="2" fillId="0" borderId="8" xfId="0" applyFont="1" applyBorder="1" applyAlignment="1">
      <alignment horizontal="center" vertical="center"/>
    </xf>
    <xf numFmtId="0" fontId="2" fillId="0" borderId="9" xfId="0" applyFont="1" applyBorder="1" applyAlignment="1">
      <alignment vertical="center"/>
    </xf>
    <xf numFmtId="0" fontId="2" fillId="0" borderId="9" xfId="0" applyFont="1" applyBorder="1" applyAlignment="1">
      <alignment horizontal="center" vertical="center"/>
    </xf>
    <xf numFmtId="4" fontId="2" fillId="0" borderId="9" xfId="0" applyNumberFormat="1" applyFont="1" applyBorder="1" applyAlignment="1">
      <alignment horizontal="right" vertical="center"/>
    </xf>
    <xf numFmtId="0" fontId="2" fillId="0" borderId="10" xfId="0" applyFont="1" applyBorder="1" applyAlignment="1">
      <alignment vertical="center"/>
    </xf>
    <xf numFmtId="14" fontId="2" fillId="0" borderId="1" xfId="0" applyNumberFormat="1" applyFont="1" applyBorder="1" applyAlignment="1">
      <alignment horizontal="center" vertical="center"/>
    </xf>
    <xf numFmtId="0" fontId="2" fillId="0" borderId="2" xfId="0" applyFont="1" applyBorder="1" applyAlignment="1">
      <alignment horizontal="center" vertical="center"/>
    </xf>
    <xf numFmtId="0" fontId="3" fillId="4" borderId="1" xfId="0" applyFont="1" applyFill="1" applyBorder="1" applyAlignment="1">
      <alignment horizontal="center"/>
    </xf>
    <xf numFmtId="0" fontId="0" fillId="0" borderId="0" xfId="0" applyAlignment="1">
      <alignment horizontal="center"/>
    </xf>
    <xf numFmtId="0" fontId="2" fillId="0" borderId="1" xfId="0" applyNumberFormat="1" applyFont="1" applyBorder="1" applyAlignment="1">
      <alignment horizontal="center" vertical="center"/>
    </xf>
  </cellXfs>
  <cellStyles count="1">
    <cellStyle name="Normal" xfId="0" builtinId="0"/>
  </cellStyles>
  <dxfs count="18">
    <dxf>
      <fill>
        <patternFill patternType="none">
          <fgColor indexed="64"/>
          <bgColor auto="1"/>
        </patternFill>
      </fill>
      <alignment horizontal="center" textRotation="0" indent="0" justifyLastLine="0" shrinkToFit="0" readingOrder="0"/>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general" vertical="center" textRotation="0" wrapText="0" indent="0" justifyLastLine="0" shrinkToFit="0" readingOrder="0"/>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general"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Century Gothic"/>
        <scheme val="none"/>
      </font>
      <numFmt numFmtId="4" formatCode="#,##0.00"/>
      <fill>
        <patternFill patternType="none">
          <fgColor indexed="64"/>
          <bgColor auto="1"/>
        </patternFill>
      </fill>
      <alignment horizontal="right"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Century Gothic"/>
        <scheme val="none"/>
      </font>
      <numFmt numFmtId="4" formatCode="#,##0.00"/>
      <fill>
        <patternFill patternType="none">
          <fgColor indexed="64"/>
          <bgColor auto="1"/>
        </patternFill>
      </fill>
      <alignment horizontal="right"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0"/>
        <color auto="1"/>
        <name val="Century Gothic"/>
        <scheme val="none"/>
      </font>
      <numFmt numFmtId="4" formatCode="#,##0.00"/>
      <fill>
        <patternFill patternType="none">
          <fgColor indexed="64"/>
          <bgColor auto="1"/>
        </patternFill>
      </fill>
      <alignment horizontal="right"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none">
          <fgColor indexed="64"/>
          <bgColor auto="1"/>
        </patternFill>
      </fill>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none">
          <fgColor indexed="64"/>
          <bgColor auto="1"/>
        </patternFill>
      </fill>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center" vertical="center" textRotation="0" wrapText="0" indent="0" justifyLastLine="0" shrinkToFit="0" readingOrder="0"/>
      <border diagonalUp="0" diagonalDown="0">
        <left style="thin">
          <color rgb="FFCCCCCC"/>
        </left>
        <right style="thin">
          <color rgb="FFCCCCCC"/>
        </right>
        <top style="thin">
          <color rgb="FFCCCCCC"/>
        </top>
        <bottom style="thin">
          <color rgb="FFCCCCCC"/>
        </bottom>
        <vertical/>
        <horizontal/>
      </border>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0"/>
        <color auto="1"/>
        <name val="Century Gothic"/>
        <scheme val="none"/>
      </font>
      <fill>
        <patternFill patternType="none">
          <fgColor indexed="64"/>
          <bgColor auto="1"/>
        </patternFill>
      </fill>
      <alignment horizontal="center" vertical="center" textRotation="0" wrapText="0" indent="0" justifyLastLine="0" shrinkToFit="0" readingOrder="0"/>
      <border diagonalUp="0" diagonalDown="0">
        <left/>
        <right style="thin">
          <color rgb="FFCCCCCC"/>
        </right>
        <top style="thin">
          <color rgb="FFCCCCCC"/>
        </top>
        <bottom style="thin">
          <color rgb="FFCCCCCC"/>
        </bottom>
        <vertical/>
        <horizontal/>
      </border>
    </dxf>
    <dxf>
      <border outline="0">
        <left style="thin">
          <color rgb="FFCCCCCC"/>
        </left>
        <right style="thin">
          <color rgb="FFCCCCCC"/>
        </right>
        <top style="thin">
          <color rgb="FFCCCCCC"/>
        </top>
        <bottom style="thin">
          <color rgb="FFCCCCCC"/>
        </bottom>
      </border>
    </dxf>
    <dxf>
      <fill>
        <patternFill patternType="none">
          <fgColor indexed="64"/>
          <bgColor auto="1"/>
        </patternFill>
      </fill>
    </dxf>
    <dxf>
      <border outline="0">
        <bottom style="thin">
          <color rgb="FFCCCCCC"/>
        </bottom>
      </border>
    </dxf>
    <dxf>
      <font>
        <b/>
        <i val="0"/>
        <strike val="0"/>
        <condense val="0"/>
        <extend val="0"/>
        <outline val="0"/>
        <shadow val="0"/>
        <u val="none"/>
        <vertAlign val="baseline"/>
        <sz val="11"/>
        <color rgb="FFFFFFFF"/>
        <name val="Century Gothic"/>
        <scheme val="none"/>
      </font>
      <fill>
        <patternFill patternType="solid">
          <fgColor indexed="64"/>
          <bgColor rgb="FF2E4057"/>
        </patternFill>
      </fill>
      <alignment horizontal="center" vertical="center" textRotation="0" wrapText="1" indent="0" justifyLastLine="0" shrinkToFit="0" readingOrder="0"/>
      <border diagonalUp="0" diagonalDown="0" outline="0">
        <left style="thin">
          <color rgb="FFCCCCCC"/>
        </left>
        <right style="thin">
          <color rgb="FFCCCCCC"/>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37933E-08B7-4D8E-A3A8-E50FCA760235}" name="Tabla1" displayName="Tabla1" ref="A1:N47" totalsRowShown="0" headerRowDxfId="17" dataDxfId="15" headerRowBorderDxfId="16" tableBorderDxfId="14">
  <autoFilter ref="A1:N47" xr:uid="{0137933E-08B7-4D8E-A3A8-E50FCA760235}"/>
  <tableColumns count="14">
    <tableColumn id="1" xr3:uid="{0B4683B1-BDF2-4C1C-9132-ABAEAB75C15B}" name="SKU" dataDxfId="13"/>
    <tableColumn id="2" xr3:uid="{EF4B33BB-CFA3-4BDD-99C9-F59CB1A4728B}" name="Título" dataDxfId="12"/>
    <tableColumn id="3" xr3:uid="{524E1B45-DCB4-44DC-A051-3C9317903257}" name="Autor/es" dataDxfId="11"/>
    <tableColumn id="4" xr3:uid="{EE649AF3-D6C7-4A3E-A015-128D9C7286EA}" name="Fecha del mapa" dataDxfId="10"/>
    <tableColumn id="5" xr3:uid="{6DF358FA-715A-41A7-9906-7BF69B7718A3}" name="Dimensiones (cm)" dataDxfId="0"/>
    <tableColumn id="6" xr3:uid="{3DE6D0A0-B7A0-42DD-980B-480E7FF7E5A8}" name="Coloreado" dataDxfId="9"/>
    <tableColumn id="7" xr3:uid="{61B5095D-DE7A-4B30-AEAA-9A2DB60681D5}" name="Fecha de compra" dataDxfId="8"/>
    <tableColumn id="8" xr3:uid="{13CAC9B6-50EC-4F6E-A1ED-53998F03984E}" name="Vendedor" dataDxfId="7"/>
    <tableColumn id="9" xr3:uid="{306CDCE0-B89D-4A9B-8346-2EE0D1B92965}" name="Precio" dataDxfId="6"/>
    <tableColumn id="10" xr3:uid="{7F1BD210-292C-4209-A4C3-6A477BD9086E}" name="Portes" dataDxfId="5"/>
    <tableColumn id="11" xr3:uid="{1E0CF666-8B35-4863-837A-B4CF8D3AB40E}" name="Total" dataDxfId="4"/>
    <tableColumn id="12" xr3:uid="{CEF4B379-641A-48F6-8FBF-D8213CFE7E55}" name="Archivador" dataDxfId="3"/>
    <tableColumn id="13" xr3:uid="{ED113F52-3FB9-4C04-B11B-20AC23DF2799}" name="Notas" dataDxfId="2"/>
    <tableColumn id="14" xr3:uid="{A3064BD6-D79A-46DA-90EF-8E09E6FDDDC8}" name="Anotaciones" dataDxfId="1"/>
  </tableColumns>
  <tableStyleInfo name="TableStyleLight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9"/>
  <sheetViews>
    <sheetView tabSelected="1" zoomScale="90" zoomScaleNormal="90" workbookViewId="0">
      <pane ySplit="1" topLeftCell="A2" activePane="bottomLeft" state="frozen"/>
      <selection pane="bottomLeft" activeCell="L13" sqref="L13"/>
    </sheetView>
  </sheetViews>
  <sheetFormatPr baseColWidth="10" defaultColWidth="8.88671875" defaultRowHeight="14.4" x14ac:dyDescent="0.3"/>
  <cols>
    <col min="1" max="1" width="7" customWidth="1"/>
    <col min="2" max="3" width="45" customWidth="1"/>
    <col min="4" max="4" width="14.88671875" customWidth="1"/>
    <col min="5" max="5" width="11.33203125" style="25" customWidth="1"/>
    <col min="6" max="6" width="9.21875" customWidth="1"/>
    <col min="7" max="7" width="20.77734375" customWidth="1"/>
    <col min="8" max="8" width="22" customWidth="1"/>
    <col min="9" max="11" width="11" customWidth="1"/>
    <col min="12" max="12" width="13.77734375" customWidth="1"/>
    <col min="13" max="14" width="50" customWidth="1"/>
  </cols>
  <sheetData>
    <row r="1" spans="1:14" ht="30" customHeight="1" x14ac:dyDescent="0.3">
      <c r="A1" s="6" t="s">
        <v>0</v>
      </c>
      <c r="B1" s="7" t="s">
        <v>1</v>
      </c>
      <c r="C1" s="7" t="s">
        <v>2</v>
      </c>
      <c r="D1" s="7" t="s">
        <v>3</v>
      </c>
      <c r="E1" s="7" t="s">
        <v>4</v>
      </c>
      <c r="F1" s="7" t="s">
        <v>5</v>
      </c>
      <c r="G1" s="7" t="s">
        <v>6</v>
      </c>
      <c r="H1" s="7" t="s">
        <v>7</v>
      </c>
      <c r="I1" s="7" t="s">
        <v>8</v>
      </c>
      <c r="J1" s="7" t="s">
        <v>9</v>
      </c>
      <c r="K1" s="7" t="s">
        <v>10</v>
      </c>
      <c r="L1" s="7" t="s">
        <v>11</v>
      </c>
      <c r="M1" s="7" t="s">
        <v>12</v>
      </c>
      <c r="N1" s="8" t="s">
        <v>13</v>
      </c>
    </row>
    <row r="2" spans="1:14" ht="18" customHeight="1" x14ac:dyDescent="0.3">
      <c r="A2" s="9">
        <v>139</v>
      </c>
      <c r="B2" s="10" t="s">
        <v>14</v>
      </c>
      <c r="C2" s="10" t="s">
        <v>15</v>
      </c>
      <c r="D2" s="11">
        <v>1798</v>
      </c>
      <c r="E2" s="11" t="s">
        <v>16</v>
      </c>
      <c r="F2" s="11" t="s">
        <v>17</v>
      </c>
      <c r="G2" s="11" t="s">
        <v>18</v>
      </c>
      <c r="H2" s="12" t="s">
        <v>119</v>
      </c>
      <c r="I2" s="13">
        <v>28</v>
      </c>
      <c r="J2" s="13">
        <v>8</v>
      </c>
      <c r="K2" s="13">
        <v>36</v>
      </c>
      <c r="L2" s="11" t="s">
        <v>19</v>
      </c>
      <c r="M2" s="10" t="s">
        <v>20</v>
      </c>
      <c r="N2" s="14"/>
    </row>
    <row r="3" spans="1:14" ht="18" customHeight="1" x14ac:dyDescent="0.3">
      <c r="A3" s="9">
        <v>140</v>
      </c>
      <c r="B3" s="10" t="s">
        <v>21</v>
      </c>
      <c r="C3" s="10" t="s">
        <v>15</v>
      </c>
      <c r="D3" s="11">
        <v>1798</v>
      </c>
      <c r="E3" s="11" t="s">
        <v>16</v>
      </c>
      <c r="F3" s="11" t="s">
        <v>17</v>
      </c>
      <c r="G3" s="11" t="s">
        <v>18</v>
      </c>
      <c r="H3" s="12" t="s">
        <v>119</v>
      </c>
      <c r="I3" s="13">
        <v>28</v>
      </c>
      <c r="J3" s="13">
        <v>8</v>
      </c>
      <c r="K3" s="13">
        <v>36</v>
      </c>
      <c r="L3" s="11" t="s">
        <v>19</v>
      </c>
      <c r="M3" s="10" t="s">
        <v>22</v>
      </c>
      <c r="N3" s="14"/>
    </row>
    <row r="4" spans="1:14" ht="18" customHeight="1" x14ac:dyDescent="0.3">
      <c r="A4" s="9">
        <v>175</v>
      </c>
      <c r="B4" s="10" t="s">
        <v>23</v>
      </c>
      <c r="C4" s="12" t="s">
        <v>106</v>
      </c>
      <c r="D4" s="26">
        <v>1655</v>
      </c>
      <c r="E4" s="15" t="s">
        <v>107</v>
      </c>
      <c r="F4" s="15" t="s">
        <v>17</v>
      </c>
      <c r="G4" s="11" t="s">
        <v>24</v>
      </c>
      <c r="H4" s="12" t="s">
        <v>118</v>
      </c>
      <c r="I4" s="13">
        <v>69</v>
      </c>
      <c r="J4" s="13">
        <v>16</v>
      </c>
      <c r="K4" s="13">
        <v>85</v>
      </c>
      <c r="L4" s="11"/>
      <c r="M4" s="12" t="s">
        <v>108</v>
      </c>
      <c r="N4" s="16" t="s">
        <v>109</v>
      </c>
    </row>
    <row r="5" spans="1:14" ht="18" customHeight="1" x14ac:dyDescent="0.3">
      <c r="A5" s="9">
        <v>219</v>
      </c>
      <c r="B5" s="10" t="s">
        <v>111</v>
      </c>
      <c r="C5" s="12" t="s">
        <v>112</v>
      </c>
      <c r="D5" s="11">
        <v>1780</v>
      </c>
      <c r="E5" s="15" t="s">
        <v>110</v>
      </c>
      <c r="F5" s="15" t="s">
        <v>17</v>
      </c>
      <c r="G5" s="11" t="s">
        <v>25</v>
      </c>
      <c r="H5" s="10" t="s">
        <v>27</v>
      </c>
      <c r="I5" s="13">
        <v>30</v>
      </c>
      <c r="J5" s="13">
        <v>15</v>
      </c>
      <c r="K5" s="13">
        <v>45</v>
      </c>
      <c r="L5" s="11" t="s">
        <v>130</v>
      </c>
      <c r="M5" s="12" t="s">
        <v>113</v>
      </c>
      <c r="N5" s="14"/>
    </row>
    <row r="6" spans="1:14" ht="18" customHeight="1" x14ac:dyDescent="0.3">
      <c r="A6" s="9">
        <v>230</v>
      </c>
      <c r="B6" s="10" t="s">
        <v>115</v>
      </c>
      <c r="C6" s="12" t="s">
        <v>116</v>
      </c>
      <c r="D6" s="11">
        <v>1635</v>
      </c>
      <c r="E6" s="15" t="s">
        <v>114</v>
      </c>
      <c r="F6" s="15" t="s">
        <v>17</v>
      </c>
      <c r="G6" s="11" t="s">
        <v>26</v>
      </c>
      <c r="H6" s="10" t="s">
        <v>27</v>
      </c>
      <c r="I6" s="13">
        <v>45</v>
      </c>
      <c r="J6" s="13">
        <v>15</v>
      </c>
      <c r="K6" s="13">
        <v>60</v>
      </c>
      <c r="L6" s="11"/>
      <c r="M6" s="12" t="s">
        <v>117</v>
      </c>
      <c r="N6" s="14"/>
    </row>
    <row r="7" spans="1:14" ht="18" customHeight="1" x14ac:dyDescent="0.3">
      <c r="A7" s="9">
        <v>574</v>
      </c>
      <c r="B7" s="10" t="s">
        <v>28</v>
      </c>
      <c r="C7" s="10" t="s">
        <v>29</v>
      </c>
      <c r="D7" s="11" t="s">
        <v>30</v>
      </c>
      <c r="E7" s="11"/>
      <c r="F7" s="11"/>
      <c r="G7" s="11" t="s">
        <v>31</v>
      </c>
      <c r="H7" s="10" t="s">
        <v>146</v>
      </c>
      <c r="I7" s="13">
        <v>74</v>
      </c>
      <c r="J7" s="13">
        <v>22</v>
      </c>
      <c r="K7" s="13">
        <v>96</v>
      </c>
      <c r="L7" s="11" t="s">
        <v>131</v>
      </c>
      <c r="M7" s="10"/>
      <c r="N7" s="14"/>
    </row>
    <row r="8" spans="1:14" ht="18" customHeight="1" x14ac:dyDescent="0.3">
      <c r="A8" s="9">
        <v>575</v>
      </c>
      <c r="B8" s="10" t="s">
        <v>32</v>
      </c>
      <c r="C8" s="10" t="s">
        <v>33</v>
      </c>
      <c r="D8" s="11" t="s">
        <v>30</v>
      </c>
      <c r="E8" s="15" t="s">
        <v>122</v>
      </c>
      <c r="F8" s="15" t="s">
        <v>17</v>
      </c>
      <c r="G8" s="11" t="s">
        <v>34</v>
      </c>
      <c r="H8" s="12" t="s">
        <v>120</v>
      </c>
      <c r="I8" s="13">
        <v>34</v>
      </c>
      <c r="J8" s="13">
        <v>4</v>
      </c>
      <c r="K8" s="13">
        <v>38</v>
      </c>
      <c r="L8" s="11"/>
      <c r="M8" s="10" t="s">
        <v>121</v>
      </c>
      <c r="N8" s="14"/>
    </row>
    <row r="9" spans="1:14" ht="18" customHeight="1" x14ac:dyDescent="0.3">
      <c r="A9" s="9">
        <v>576</v>
      </c>
      <c r="B9" s="10" t="s">
        <v>35</v>
      </c>
      <c r="C9" s="10" t="s">
        <v>33</v>
      </c>
      <c r="D9" s="11" t="s">
        <v>30</v>
      </c>
      <c r="E9" s="15" t="s">
        <v>122</v>
      </c>
      <c r="F9" s="15" t="s">
        <v>17</v>
      </c>
      <c r="G9" s="11" t="s">
        <v>34</v>
      </c>
      <c r="H9" s="12" t="s">
        <v>120</v>
      </c>
      <c r="I9" s="13">
        <v>34</v>
      </c>
      <c r="J9" s="13">
        <v>4</v>
      </c>
      <c r="K9" s="13">
        <v>38</v>
      </c>
      <c r="L9" s="11"/>
      <c r="M9" s="10" t="s">
        <v>123</v>
      </c>
      <c r="N9" s="14"/>
    </row>
    <row r="10" spans="1:14" ht="18" customHeight="1" x14ac:dyDescent="0.3">
      <c r="A10" s="9">
        <v>577</v>
      </c>
      <c r="B10" s="10" t="s">
        <v>36</v>
      </c>
      <c r="C10" s="10" t="s">
        <v>37</v>
      </c>
      <c r="D10" s="11" t="s">
        <v>38</v>
      </c>
      <c r="E10" s="11"/>
      <c r="F10" s="11"/>
      <c r="G10" s="11" t="s">
        <v>39</v>
      </c>
      <c r="H10" s="10" t="s">
        <v>146</v>
      </c>
      <c r="I10" s="13">
        <v>56</v>
      </c>
      <c r="J10" s="13">
        <v>8</v>
      </c>
      <c r="K10" s="13">
        <v>64</v>
      </c>
      <c r="L10" s="11" t="s">
        <v>19</v>
      </c>
      <c r="M10" s="10"/>
      <c r="N10" s="14"/>
    </row>
    <row r="11" spans="1:14" ht="18" customHeight="1" x14ac:dyDescent="0.3">
      <c r="A11" s="9">
        <v>578</v>
      </c>
      <c r="B11" s="10" t="s">
        <v>40</v>
      </c>
      <c r="C11" s="10" t="s">
        <v>37</v>
      </c>
      <c r="D11" s="11" t="s">
        <v>38</v>
      </c>
      <c r="E11" s="11"/>
      <c r="F11" s="11"/>
      <c r="G11" s="11" t="s">
        <v>39</v>
      </c>
      <c r="H11" s="10" t="s">
        <v>146</v>
      </c>
      <c r="I11" s="13">
        <v>56</v>
      </c>
      <c r="J11" s="13">
        <v>8</v>
      </c>
      <c r="K11" s="13">
        <v>64</v>
      </c>
      <c r="L11" s="11" t="s">
        <v>19</v>
      </c>
      <c r="M11" s="10"/>
      <c r="N11" s="14"/>
    </row>
    <row r="12" spans="1:14" ht="18" customHeight="1" x14ac:dyDescent="0.3">
      <c r="A12" s="9">
        <v>579</v>
      </c>
      <c r="B12" s="10" t="s">
        <v>41</v>
      </c>
      <c r="C12" s="10" t="s">
        <v>42</v>
      </c>
      <c r="D12" s="11"/>
      <c r="E12" s="11"/>
      <c r="F12" s="11"/>
      <c r="G12" s="11" t="s">
        <v>43</v>
      </c>
      <c r="H12" s="10" t="s">
        <v>146</v>
      </c>
      <c r="I12" s="13">
        <v>142</v>
      </c>
      <c r="J12" s="13">
        <v>11</v>
      </c>
      <c r="K12" s="13">
        <v>153</v>
      </c>
      <c r="L12" s="11" t="s">
        <v>19</v>
      </c>
      <c r="M12" s="10"/>
      <c r="N12" s="14"/>
    </row>
    <row r="13" spans="1:14" ht="18" customHeight="1" x14ac:dyDescent="0.3">
      <c r="A13" s="9">
        <v>580</v>
      </c>
      <c r="B13" s="10" t="s">
        <v>150</v>
      </c>
      <c r="C13" s="10" t="s">
        <v>151</v>
      </c>
      <c r="D13" s="11">
        <v>1754</v>
      </c>
      <c r="E13" s="11" t="s">
        <v>152</v>
      </c>
      <c r="F13" s="11" t="s">
        <v>153</v>
      </c>
      <c r="G13" s="11" t="s">
        <v>43</v>
      </c>
      <c r="H13" s="10" t="s">
        <v>146</v>
      </c>
      <c r="I13" s="13">
        <v>40</v>
      </c>
      <c r="J13" s="13">
        <v>11</v>
      </c>
      <c r="K13" s="13">
        <v>51</v>
      </c>
      <c r="L13" s="11" t="s">
        <v>130</v>
      </c>
      <c r="M13" s="10"/>
      <c r="N13" s="14"/>
    </row>
    <row r="14" spans="1:14" ht="18" customHeight="1" x14ac:dyDescent="0.3">
      <c r="A14" s="9">
        <v>581</v>
      </c>
      <c r="B14" s="10" t="s">
        <v>44</v>
      </c>
      <c r="C14" s="10"/>
      <c r="D14" s="11" t="s">
        <v>45</v>
      </c>
      <c r="E14" s="11"/>
      <c r="F14" s="11"/>
      <c r="G14" s="11" t="s">
        <v>43</v>
      </c>
      <c r="H14" s="10" t="s">
        <v>146</v>
      </c>
      <c r="I14" s="13">
        <v>90</v>
      </c>
      <c r="J14" s="13">
        <v>20</v>
      </c>
      <c r="K14" s="13">
        <v>110</v>
      </c>
      <c r="L14" s="11" t="s">
        <v>131</v>
      </c>
      <c r="M14" s="10"/>
      <c r="N14" s="14"/>
    </row>
    <row r="15" spans="1:14" ht="18" customHeight="1" x14ac:dyDescent="0.3">
      <c r="A15" s="9">
        <v>582</v>
      </c>
      <c r="B15" s="10" t="s">
        <v>46</v>
      </c>
      <c r="C15" s="10" t="s">
        <v>47</v>
      </c>
      <c r="D15" s="26">
        <v>1720</v>
      </c>
      <c r="E15" s="11"/>
      <c r="F15" s="11"/>
      <c r="G15" s="11" t="s">
        <v>39</v>
      </c>
      <c r="H15" s="10" t="s">
        <v>146</v>
      </c>
      <c r="I15" s="13">
        <v>112</v>
      </c>
      <c r="J15" s="13">
        <v>20</v>
      </c>
      <c r="K15" s="13">
        <v>132</v>
      </c>
      <c r="L15" s="11" t="s">
        <v>131</v>
      </c>
      <c r="M15" s="10"/>
      <c r="N15" s="14"/>
    </row>
    <row r="16" spans="1:14" ht="18" customHeight="1" x14ac:dyDescent="0.3">
      <c r="A16" s="9">
        <v>583</v>
      </c>
      <c r="B16" s="10" t="s">
        <v>48</v>
      </c>
      <c r="C16" s="10" t="s">
        <v>151</v>
      </c>
      <c r="D16" s="11">
        <v>1754</v>
      </c>
      <c r="E16" s="11" t="s">
        <v>154</v>
      </c>
      <c r="F16" s="11" t="s">
        <v>17</v>
      </c>
      <c r="G16" s="11" t="s">
        <v>49</v>
      </c>
      <c r="H16" s="12" t="s">
        <v>119</v>
      </c>
      <c r="I16" s="13">
        <v>24</v>
      </c>
      <c r="J16" s="13"/>
      <c r="K16" s="13">
        <v>24</v>
      </c>
      <c r="L16" s="11" t="s">
        <v>130</v>
      </c>
      <c r="M16" s="10" t="s">
        <v>155</v>
      </c>
      <c r="N16" s="14"/>
    </row>
    <row r="17" spans="1:14" ht="18" customHeight="1" x14ac:dyDescent="0.3">
      <c r="A17" s="9">
        <v>584</v>
      </c>
      <c r="B17" s="10" t="s">
        <v>50</v>
      </c>
      <c r="C17" s="10" t="s">
        <v>151</v>
      </c>
      <c r="D17" s="11">
        <v>1754</v>
      </c>
      <c r="E17" s="11" t="s">
        <v>154</v>
      </c>
      <c r="F17" s="11" t="s">
        <v>17</v>
      </c>
      <c r="G17" s="11" t="s">
        <v>49</v>
      </c>
      <c r="H17" s="12" t="s">
        <v>119</v>
      </c>
      <c r="I17" s="13">
        <v>24</v>
      </c>
      <c r="J17" s="13"/>
      <c r="K17" s="13">
        <v>24</v>
      </c>
      <c r="L17" s="11" t="s">
        <v>130</v>
      </c>
      <c r="M17" s="10" t="s">
        <v>155</v>
      </c>
      <c r="N17" s="14"/>
    </row>
    <row r="18" spans="1:14" ht="18" customHeight="1" x14ac:dyDescent="0.3">
      <c r="A18" s="9">
        <v>585</v>
      </c>
      <c r="B18" s="10" t="s">
        <v>156</v>
      </c>
      <c r="C18" s="10" t="s">
        <v>158</v>
      </c>
      <c r="D18" s="11">
        <v>1774</v>
      </c>
      <c r="E18" s="11" t="s">
        <v>110</v>
      </c>
      <c r="F18" s="11" t="s">
        <v>17</v>
      </c>
      <c r="G18" s="11" t="s">
        <v>51</v>
      </c>
      <c r="H18" s="10" t="s">
        <v>146</v>
      </c>
      <c r="I18" s="13">
        <v>30</v>
      </c>
      <c r="J18" s="13">
        <v>7.5</v>
      </c>
      <c r="K18" s="13">
        <v>37.5</v>
      </c>
      <c r="L18" s="11" t="s">
        <v>130</v>
      </c>
      <c r="M18" s="10" t="s">
        <v>157</v>
      </c>
      <c r="N18" s="14"/>
    </row>
    <row r="19" spans="1:14" ht="18" customHeight="1" x14ac:dyDescent="0.3">
      <c r="A19" s="9">
        <v>586</v>
      </c>
      <c r="B19" s="10" t="s">
        <v>52</v>
      </c>
      <c r="C19" s="10" t="s">
        <v>53</v>
      </c>
      <c r="D19" s="11"/>
      <c r="E19" s="11"/>
      <c r="F19" s="11"/>
      <c r="G19" s="11" t="s">
        <v>54</v>
      </c>
      <c r="H19" s="10" t="s">
        <v>146</v>
      </c>
      <c r="I19" s="13">
        <v>91</v>
      </c>
      <c r="J19" s="13">
        <v>16</v>
      </c>
      <c r="K19" s="13">
        <v>107</v>
      </c>
      <c r="L19" s="11" t="s">
        <v>19</v>
      </c>
      <c r="M19" s="10"/>
      <c r="N19" s="14"/>
    </row>
    <row r="20" spans="1:14" ht="18" customHeight="1" x14ac:dyDescent="0.3">
      <c r="A20" s="9">
        <v>587</v>
      </c>
      <c r="B20" s="10" t="s">
        <v>52</v>
      </c>
      <c r="C20" s="10" t="s">
        <v>55</v>
      </c>
      <c r="D20" s="11"/>
      <c r="E20" s="11"/>
      <c r="F20" s="11"/>
      <c r="G20" s="11" t="s">
        <v>54</v>
      </c>
      <c r="H20" s="10" t="s">
        <v>146</v>
      </c>
      <c r="I20" s="13">
        <v>91</v>
      </c>
      <c r="J20" s="13">
        <v>22</v>
      </c>
      <c r="K20" s="13">
        <v>113</v>
      </c>
      <c r="L20" s="11" t="s">
        <v>19</v>
      </c>
      <c r="M20" s="10"/>
      <c r="N20" s="14"/>
    </row>
    <row r="21" spans="1:14" ht="18" customHeight="1" x14ac:dyDescent="0.3">
      <c r="A21" s="9">
        <v>588</v>
      </c>
      <c r="B21" s="10" t="s">
        <v>159</v>
      </c>
      <c r="C21" s="10" t="s">
        <v>93</v>
      </c>
      <c r="D21" s="11">
        <v>1787</v>
      </c>
      <c r="E21" s="11" t="s">
        <v>132</v>
      </c>
      <c r="F21" s="11" t="s">
        <v>17</v>
      </c>
      <c r="G21" s="11" t="s">
        <v>57</v>
      </c>
      <c r="H21" s="10" t="s">
        <v>119</v>
      </c>
      <c r="I21" s="13">
        <v>112</v>
      </c>
      <c r="J21" s="13">
        <v>11</v>
      </c>
      <c r="K21" s="13">
        <v>123</v>
      </c>
      <c r="L21" s="11" t="s">
        <v>130</v>
      </c>
      <c r="M21" s="10" t="s">
        <v>160</v>
      </c>
      <c r="N21" s="14"/>
    </row>
    <row r="22" spans="1:14" ht="18" customHeight="1" x14ac:dyDescent="0.3">
      <c r="A22" s="9">
        <v>589</v>
      </c>
      <c r="B22" s="10" t="s">
        <v>56</v>
      </c>
      <c r="C22" s="10" t="s">
        <v>58</v>
      </c>
      <c r="D22" s="11">
        <v>1780</v>
      </c>
      <c r="E22" s="11" t="s">
        <v>154</v>
      </c>
      <c r="F22" s="11" t="s">
        <v>17</v>
      </c>
      <c r="G22" s="11" t="s">
        <v>57</v>
      </c>
      <c r="H22" s="10" t="s">
        <v>119</v>
      </c>
      <c r="I22" s="13">
        <v>51</v>
      </c>
      <c r="J22" s="13">
        <v>11</v>
      </c>
      <c r="K22" s="13">
        <v>62</v>
      </c>
      <c r="L22" s="11" t="s">
        <v>130</v>
      </c>
      <c r="M22" s="10" t="s">
        <v>161</v>
      </c>
      <c r="N22" s="14"/>
    </row>
    <row r="23" spans="1:14" ht="18" customHeight="1" x14ac:dyDescent="0.3">
      <c r="A23" s="9">
        <v>590</v>
      </c>
      <c r="B23" s="10" t="s">
        <v>59</v>
      </c>
      <c r="C23" s="10" t="s">
        <v>60</v>
      </c>
      <c r="D23" s="11"/>
      <c r="E23" s="11"/>
      <c r="F23" s="11"/>
      <c r="G23" s="11" t="s">
        <v>61</v>
      </c>
      <c r="H23" s="10" t="s">
        <v>146</v>
      </c>
      <c r="I23" s="13">
        <v>28</v>
      </c>
      <c r="J23" s="13"/>
      <c r="K23" s="13">
        <v>28</v>
      </c>
      <c r="L23" s="11" t="s">
        <v>19</v>
      </c>
      <c r="M23" s="10"/>
      <c r="N23" s="14"/>
    </row>
    <row r="24" spans="1:14" ht="18" customHeight="1" x14ac:dyDescent="0.3">
      <c r="A24" s="9">
        <v>591</v>
      </c>
      <c r="B24" s="10" t="s">
        <v>59</v>
      </c>
      <c r="C24" s="10" t="s">
        <v>62</v>
      </c>
      <c r="D24" s="11"/>
      <c r="E24" s="11"/>
      <c r="F24" s="11"/>
      <c r="G24" s="11" t="s">
        <v>61</v>
      </c>
      <c r="H24" s="10" t="s">
        <v>146</v>
      </c>
      <c r="I24" s="13">
        <v>28</v>
      </c>
      <c r="J24" s="13"/>
      <c r="K24" s="13">
        <v>28</v>
      </c>
      <c r="L24" s="11" t="s">
        <v>19</v>
      </c>
      <c r="M24" s="10"/>
      <c r="N24" s="14"/>
    </row>
    <row r="25" spans="1:14" ht="18" customHeight="1" x14ac:dyDescent="0.3">
      <c r="A25" s="9">
        <v>592</v>
      </c>
      <c r="B25" s="10" t="s">
        <v>165</v>
      </c>
      <c r="C25" s="10" t="s">
        <v>166</v>
      </c>
      <c r="D25" s="11" t="s">
        <v>164</v>
      </c>
      <c r="E25" s="11" t="s">
        <v>162</v>
      </c>
      <c r="F25" s="11" t="s">
        <v>17</v>
      </c>
      <c r="G25" s="22">
        <v>45722</v>
      </c>
      <c r="H25" s="10" t="s">
        <v>119</v>
      </c>
      <c r="I25" s="13">
        <v>112</v>
      </c>
      <c r="J25" s="13">
        <v>22</v>
      </c>
      <c r="K25" s="13">
        <v>134</v>
      </c>
      <c r="L25" s="11" t="s">
        <v>130</v>
      </c>
      <c r="M25" s="10" t="s">
        <v>163</v>
      </c>
      <c r="N25" s="14"/>
    </row>
    <row r="26" spans="1:14" ht="18" customHeight="1" x14ac:dyDescent="0.3">
      <c r="A26" s="9">
        <v>593</v>
      </c>
      <c r="B26" s="10" t="s">
        <v>63</v>
      </c>
      <c r="C26" s="10" t="s">
        <v>64</v>
      </c>
      <c r="D26" s="11"/>
      <c r="E26" s="11"/>
      <c r="F26" s="11"/>
      <c r="G26" s="11" t="s">
        <v>65</v>
      </c>
      <c r="H26" s="10" t="s">
        <v>146</v>
      </c>
      <c r="I26" s="13">
        <v>106</v>
      </c>
      <c r="J26" s="13">
        <v>11</v>
      </c>
      <c r="K26" s="13">
        <v>117</v>
      </c>
      <c r="L26" s="11" t="s">
        <v>19</v>
      </c>
      <c r="M26" s="10"/>
      <c r="N26" s="14"/>
    </row>
    <row r="27" spans="1:14" ht="18" customHeight="1" x14ac:dyDescent="0.3">
      <c r="A27" s="9">
        <v>594</v>
      </c>
      <c r="B27" s="10" t="s">
        <v>66</v>
      </c>
      <c r="C27" s="10" t="s">
        <v>67</v>
      </c>
      <c r="D27" s="11"/>
      <c r="E27" s="11"/>
      <c r="F27" s="11"/>
      <c r="G27" s="11" t="s">
        <v>65</v>
      </c>
      <c r="H27" s="10" t="s">
        <v>146</v>
      </c>
      <c r="I27" s="13">
        <v>83</v>
      </c>
      <c r="J27" s="13">
        <v>11</v>
      </c>
      <c r="K27" s="13">
        <v>94</v>
      </c>
      <c r="L27" s="11" t="s">
        <v>131</v>
      </c>
      <c r="M27" s="10"/>
      <c r="N27" s="14"/>
    </row>
    <row r="28" spans="1:14" ht="18" customHeight="1" x14ac:dyDescent="0.3">
      <c r="A28" s="9">
        <v>595</v>
      </c>
      <c r="B28" s="10" t="s">
        <v>168</v>
      </c>
      <c r="C28" s="10" t="s">
        <v>91</v>
      </c>
      <c r="D28" s="11" t="s">
        <v>169</v>
      </c>
      <c r="E28" s="11" t="s">
        <v>167</v>
      </c>
      <c r="F28" s="11" t="s">
        <v>17</v>
      </c>
      <c r="G28" s="11" t="s">
        <v>69</v>
      </c>
      <c r="H28" s="10" t="s">
        <v>119</v>
      </c>
      <c r="I28" s="13">
        <v>13</v>
      </c>
      <c r="J28" s="13">
        <v>6</v>
      </c>
      <c r="K28" s="13">
        <v>19</v>
      </c>
      <c r="L28" s="11" t="s">
        <v>130</v>
      </c>
      <c r="M28" s="10" t="s">
        <v>171</v>
      </c>
      <c r="N28" s="14"/>
    </row>
    <row r="29" spans="1:14" ht="18" customHeight="1" x14ac:dyDescent="0.3">
      <c r="A29" s="9">
        <v>596</v>
      </c>
      <c r="B29" s="10" t="s">
        <v>170</v>
      </c>
      <c r="C29" s="10" t="s">
        <v>91</v>
      </c>
      <c r="D29" s="11" t="s">
        <v>169</v>
      </c>
      <c r="E29" s="11" t="s">
        <v>154</v>
      </c>
      <c r="F29" s="11" t="s">
        <v>17</v>
      </c>
      <c r="G29" s="11" t="s">
        <v>69</v>
      </c>
      <c r="H29" s="10" t="s">
        <v>119</v>
      </c>
      <c r="I29" s="13">
        <v>13</v>
      </c>
      <c r="J29" s="13">
        <v>6</v>
      </c>
      <c r="K29" s="13">
        <v>19</v>
      </c>
      <c r="L29" s="11" t="s">
        <v>130</v>
      </c>
      <c r="M29" s="10" t="s">
        <v>172</v>
      </c>
      <c r="N29" s="14"/>
    </row>
    <row r="30" spans="1:14" ht="18" customHeight="1" x14ac:dyDescent="0.3">
      <c r="A30" s="9">
        <v>597</v>
      </c>
      <c r="B30" s="10" t="s">
        <v>68</v>
      </c>
      <c r="C30" s="10" t="s">
        <v>70</v>
      </c>
      <c r="D30" s="11"/>
      <c r="E30" s="11"/>
      <c r="F30" s="11"/>
      <c r="G30" s="11" t="s">
        <v>69</v>
      </c>
      <c r="H30" s="10" t="s">
        <v>146</v>
      </c>
      <c r="I30" s="13">
        <v>56</v>
      </c>
      <c r="J30" s="13">
        <v>11</v>
      </c>
      <c r="K30" s="13">
        <v>67</v>
      </c>
      <c r="L30" s="11" t="s">
        <v>131</v>
      </c>
      <c r="M30" s="10"/>
      <c r="N30" s="14"/>
    </row>
    <row r="31" spans="1:14" ht="18" customHeight="1" x14ac:dyDescent="0.3">
      <c r="A31" s="9">
        <v>598</v>
      </c>
      <c r="B31" s="10" t="s">
        <v>175</v>
      </c>
      <c r="C31" s="10" t="s">
        <v>58</v>
      </c>
      <c r="D31" s="11" t="s">
        <v>38</v>
      </c>
      <c r="E31" s="11" t="s">
        <v>173</v>
      </c>
      <c r="F31" s="11" t="s">
        <v>17</v>
      </c>
      <c r="G31" s="11" t="s">
        <v>72</v>
      </c>
      <c r="H31" s="10" t="s">
        <v>119</v>
      </c>
      <c r="I31" s="13">
        <v>30</v>
      </c>
      <c r="J31" s="13">
        <v>28</v>
      </c>
      <c r="K31" s="13">
        <v>58</v>
      </c>
      <c r="L31" s="11" t="s">
        <v>130</v>
      </c>
      <c r="M31" s="12" t="s">
        <v>174</v>
      </c>
      <c r="N31" s="14"/>
    </row>
    <row r="32" spans="1:14" ht="18" customHeight="1" x14ac:dyDescent="0.3">
      <c r="A32" s="9">
        <v>599</v>
      </c>
      <c r="B32" s="10" t="s">
        <v>73</v>
      </c>
      <c r="C32" s="10" t="s">
        <v>74</v>
      </c>
      <c r="D32" s="11" t="s">
        <v>75</v>
      </c>
      <c r="E32" s="11"/>
      <c r="F32" s="11"/>
      <c r="G32" s="11" t="s">
        <v>76</v>
      </c>
      <c r="H32" s="10" t="s">
        <v>146</v>
      </c>
      <c r="I32" s="13">
        <v>73</v>
      </c>
      <c r="J32" s="13">
        <v>19</v>
      </c>
      <c r="K32" s="13">
        <v>92</v>
      </c>
      <c r="L32" s="11"/>
      <c r="M32" s="10"/>
      <c r="N32" s="14"/>
    </row>
    <row r="33" spans="1:14" ht="18" customHeight="1" x14ac:dyDescent="0.3">
      <c r="A33" s="9">
        <v>600</v>
      </c>
      <c r="B33" s="10" t="s">
        <v>71</v>
      </c>
      <c r="C33" s="10" t="s">
        <v>176</v>
      </c>
      <c r="D33" s="15" t="s">
        <v>164</v>
      </c>
      <c r="E33" s="15" t="s">
        <v>152</v>
      </c>
      <c r="F33" s="15" t="s">
        <v>17</v>
      </c>
      <c r="G33" s="11" t="s">
        <v>77</v>
      </c>
      <c r="H33" s="10" t="s">
        <v>146</v>
      </c>
      <c r="I33" s="13">
        <v>30</v>
      </c>
      <c r="J33" s="13">
        <v>22</v>
      </c>
      <c r="K33" s="13">
        <v>52</v>
      </c>
      <c r="L33" s="11" t="s">
        <v>130</v>
      </c>
      <c r="M33" s="10" t="s">
        <v>163</v>
      </c>
      <c r="N33" s="14"/>
    </row>
    <row r="34" spans="1:14" ht="18" customHeight="1" x14ac:dyDescent="0.3">
      <c r="A34" s="9">
        <v>601</v>
      </c>
      <c r="B34" s="10" t="s">
        <v>78</v>
      </c>
      <c r="C34" s="10" t="s">
        <v>79</v>
      </c>
      <c r="D34" s="11"/>
      <c r="E34" s="11"/>
      <c r="F34" s="11"/>
      <c r="G34" s="11" t="s">
        <v>80</v>
      </c>
      <c r="H34" s="10" t="s">
        <v>146</v>
      </c>
      <c r="I34" s="13">
        <v>44</v>
      </c>
      <c r="J34" s="13">
        <v>11</v>
      </c>
      <c r="K34" s="13">
        <v>55</v>
      </c>
      <c r="L34" s="11" t="s">
        <v>19</v>
      </c>
      <c r="M34" s="10"/>
      <c r="N34" s="14"/>
    </row>
    <row r="35" spans="1:14" ht="18" customHeight="1" x14ac:dyDescent="0.3">
      <c r="A35" s="9">
        <v>602</v>
      </c>
      <c r="B35" s="10" t="s">
        <v>81</v>
      </c>
      <c r="C35" s="10" t="s">
        <v>82</v>
      </c>
      <c r="D35" s="11"/>
      <c r="E35" s="11" t="s">
        <v>124</v>
      </c>
      <c r="F35" s="11"/>
      <c r="G35" s="11" t="s">
        <v>83</v>
      </c>
      <c r="H35" s="10" t="s">
        <v>146</v>
      </c>
      <c r="I35" s="13">
        <v>44</v>
      </c>
      <c r="J35" s="13">
        <v>11</v>
      </c>
      <c r="K35" s="13">
        <v>55</v>
      </c>
      <c r="L35" s="11" t="s">
        <v>19</v>
      </c>
      <c r="M35" s="10"/>
      <c r="N35" s="14"/>
    </row>
    <row r="36" spans="1:14" ht="18" customHeight="1" x14ac:dyDescent="0.3">
      <c r="A36" s="9">
        <v>603</v>
      </c>
      <c r="B36" s="10" t="s">
        <v>84</v>
      </c>
      <c r="C36" s="10" t="s">
        <v>82</v>
      </c>
      <c r="D36" s="11"/>
      <c r="E36" s="11" t="s">
        <v>125</v>
      </c>
      <c r="F36" s="11"/>
      <c r="G36" s="11" t="s">
        <v>85</v>
      </c>
      <c r="H36" s="10" t="s">
        <v>146</v>
      </c>
      <c r="I36" s="13">
        <v>7</v>
      </c>
      <c r="J36" s="13">
        <v>22</v>
      </c>
      <c r="K36" s="13">
        <v>29</v>
      </c>
      <c r="L36" s="11" t="s">
        <v>19</v>
      </c>
      <c r="M36" s="10"/>
      <c r="N36" s="14"/>
    </row>
    <row r="37" spans="1:14" ht="18" customHeight="1" x14ac:dyDescent="0.3">
      <c r="A37" s="9">
        <v>604</v>
      </c>
      <c r="B37" s="10" t="s">
        <v>86</v>
      </c>
      <c r="C37" s="10"/>
      <c r="D37" s="11"/>
      <c r="E37" s="11" t="s">
        <v>126</v>
      </c>
      <c r="F37" s="11"/>
      <c r="G37" s="11"/>
      <c r="H37" s="10" t="s">
        <v>146</v>
      </c>
      <c r="I37" s="13">
        <v>48</v>
      </c>
      <c r="J37" s="13">
        <v>22</v>
      </c>
      <c r="K37" s="13">
        <v>70</v>
      </c>
      <c r="L37" s="11" t="s">
        <v>19</v>
      </c>
      <c r="M37" s="10"/>
      <c r="N37" s="14"/>
    </row>
    <row r="38" spans="1:14" ht="18" customHeight="1" x14ac:dyDescent="0.3">
      <c r="A38" s="9">
        <v>605</v>
      </c>
      <c r="B38" s="12" t="s">
        <v>177</v>
      </c>
      <c r="C38" s="12" t="s">
        <v>180</v>
      </c>
      <c r="D38" s="15" t="s">
        <v>178</v>
      </c>
      <c r="E38" s="15" t="s">
        <v>179</v>
      </c>
      <c r="F38" s="15" t="s">
        <v>17</v>
      </c>
      <c r="G38" s="11" t="s">
        <v>87</v>
      </c>
      <c r="H38" s="10" t="s">
        <v>119</v>
      </c>
      <c r="I38" s="13">
        <v>53</v>
      </c>
      <c r="J38" s="13">
        <v>11</v>
      </c>
      <c r="K38" s="13">
        <v>64</v>
      </c>
      <c r="L38" s="11" t="s">
        <v>130</v>
      </c>
      <c r="M38" s="10" t="s">
        <v>171</v>
      </c>
      <c r="N38" s="14"/>
    </row>
    <row r="39" spans="1:14" ht="18" customHeight="1" x14ac:dyDescent="0.3">
      <c r="A39" s="9">
        <v>606</v>
      </c>
      <c r="B39" s="10" t="s">
        <v>88</v>
      </c>
      <c r="C39" s="10" t="s">
        <v>89</v>
      </c>
      <c r="D39" s="11"/>
      <c r="E39" s="11"/>
      <c r="F39" s="11"/>
      <c r="G39" s="11" t="s">
        <v>87</v>
      </c>
      <c r="H39" s="10" t="s">
        <v>146</v>
      </c>
      <c r="I39" s="13">
        <v>41</v>
      </c>
      <c r="J39" s="13">
        <v>11</v>
      </c>
      <c r="K39" s="13">
        <v>52</v>
      </c>
      <c r="L39" s="11" t="s">
        <v>131</v>
      </c>
      <c r="M39" s="10"/>
      <c r="N39" s="14"/>
    </row>
    <row r="40" spans="1:14" ht="18" customHeight="1" x14ac:dyDescent="0.3">
      <c r="A40" s="9">
        <v>607</v>
      </c>
      <c r="B40" s="10" t="s">
        <v>90</v>
      </c>
      <c r="C40" s="10" t="s">
        <v>91</v>
      </c>
      <c r="D40" s="11"/>
      <c r="E40" s="11"/>
      <c r="F40" s="11"/>
      <c r="G40" s="11" t="s">
        <v>92</v>
      </c>
      <c r="H40" s="10" t="s">
        <v>146</v>
      </c>
      <c r="I40" s="13">
        <v>56</v>
      </c>
      <c r="J40" s="13">
        <v>8</v>
      </c>
      <c r="K40" s="13">
        <v>64</v>
      </c>
      <c r="L40" s="11" t="s">
        <v>131</v>
      </c>
      <c r="M40" s="10"/>
      <c r="N40" s="14"/>
    </row>
    <row r="41" spans="1:14" ht="18" customHeight="1" x14ac:dyDescent="0.3">
      <c r="A41" s="9">
        <v>608</v>
      </c>
      <c r="B41" s="12" t="s">
        <v>182</v>
      </c>
      <c r="C41" s="10" t="s">
        <v>93</v>
      </c>
      <c r="D41" s="26">
        <v>1787</v>
      </c>
      <c r="E41" s="11" t="s">
        <v>132</v>
      </c>
      <c r="F41" s="11"/>
      <c r="G41" s="11" t="s">
        <v>94</v>
      </c>
      <c r="H41" s="12" t="s">
        <v>119</v>
      </c>
      <c r="I41" s="13">
        <v>85</v>
      </c>
      <c r="J41" s="13">
        <v>22</v>
      </c>
      <c r="K41" s="13">
        <v>107</v>
      </c>
      <c r="L41" s="11" t="s">
        <v>130</v>
      </c>
      <c r="M41" s="12" t="s">
        <v>183</v>
      </c>
      <c r="N41" s="14"/>
    </row>
    <row r="42" spans="1:14" ht="18" customHeight="1" x14ac:dyDescent="0.3">
      <c r="A42" s="9">
        <v>609</v>
      </c>
      <c r="B42" s="10" t="s">
        <v>88</v>
      </c>
      <c r="C42" s="10" t="s">
        <v>95</v>
      </c>
      <c r="D42" s="11" t="s">
        <v>96</v>
      </c>
      <c r="E42" s="11" t="s">
        <v>128</v>
      </c>
      <c r="F42" s="11"/>
      <c r="G42" s="11" t="s">
        <v>97</v>
      </c>
      <c r="H42" s="10" t="s">
        <v>146</v>
      </c>
      <c r="I42" s="13">
        <v>30</v>
      </c>
      <c r="J42" s="13">
        <v>20</v>
      </c>
      <c r="K42" s="13">
        <v>50</v>
      </c>
      <c r="L42" s="11" t="s">
        <v>19</v>
      </c>
      <c r="M42" s="10"/>
      <c r="N42" s="14"/>
    </row>
    <row r="43" spans="1:14" ht="18" customHeight="1" x14ac:dyDescent="0.3">
      <c r="A43" s="9">
        <v>610</v>
      </c>
      <c r="B43" s="12" t="s">
        <v>143</v>
      </c>
      <c r="C43" s="12" t="s">
        <v>145</v>
      </c>
      <c r="D43" s="11">
        <v>1826</v>
      </c>
      <c r="E43" s="11" t="s">
        <v>129</v>
      </c>
      <c r="F43" s="15" t="s">
        <v>17</v>
      </c>
      <c r="G43" s="11" t="s">
        <v>97</v>
      </c>
      <c r="H43" s="12" t="s">
        <v>119</v>
      </c>
      <c r="I43" s="13">
        <v>56</v>
      </c>
      <c r="J43" s="13">
        <v>22</v>
      </c>
      <c r="K43" s="13">
        <v>78</v>
      </c>
      <c r="L43" s="11" t="s">
        <v>19</v>
      </c>
      <c r="M43" s="10" t="s">
        <v>144</v>
      </c>
      <c r="N43" s="14"/>
    </row>
    <row r="44" spans="1:14" ht="18" customHeight="1" x14ac:dyDescent="0.3">
      <c r="A44" s="9">
        <v>611</v>
      </c>
      <c r="B44" s="10" t="s">
        <v>142</v>
      </c>
      <c r="C44" s="10" t="s">
        <v>98</v>
      </c>
      <c r="D44" s="11">
        <v>1747</v>
      </c>
      <c r="E44" s="11" t="s">
        <v>127</v>
      </c>
      <c r="F44" s="15" t="s">
        <v>17</v>
      </c>
      <c r="G44" s="11" t="s">
        <v>99</v>
      </c>
      <c r="H44" s="12" t="s">
        <v>140</v>
      </c>
      <c r="I44" s="13">
        <v>113</v>
      </c>
      <c r="J44" s="13">
        <v>19</v>
      </c>
      <c r="K44" s="13">
        <v>132</v>
      </c>
      <c r="L44" s="11" t="s">
        <v>19</v>
      </c>
      <c r="M44" s="10" t="s">
        <v>141</v>
      </c>
      <c r="N44" s="14"/>
    </row>
    <row r="45" spans="1:14" ht="18" customHeight="1" x14ac:dyDescent="0.3">
      <c r="A45" s="9">
        <v>612</v>
      </c>
      <c r="B45" s="10" t="s">
        <v>137</v>
      </c>
      <c r="C45" s="10" t="s">
        <v>138</v>
      </c>
      <c r="D45" s="11">
        <v>1780</v>
      </c>
      <c r="E45" s="23" t="s">
        <v>136</v>
      </c>
      <c r="F45" s="11" t="s">
        <v>17</v>
      </c>
      <c r="G45" s="11" t="s">
        <v>100</v>
      </c>
      <c r="H45" s="10" t="s">
        <v>27</v>
      </c>
      <c r="I45" s="13">
        <v>36</v>
      </c>
      <c r="J45" s="13">
        <v>19</v>
      </c>
      <c r="K45" s="13">
        <v>55</v>
      </c>
      <c r="L45" s="11" t="s">
        <v>130</v>
      </c>
      <c r="M45" s="10" t="s">
        <v>139</v>
      </c>
      <c r="N45" s="14"/>
    </row>
    <row r="46" spans="1:14" ht="18" customHeight="1" x14ac:dyDescent="0.3">
      <c r="A46" s="9">
        <v>613</v>
      </c>
      <c r="B46" s="10" t="s">
        <v>134</v>
      </c>
      <c r="C46" s="10" t="s">
        <v>135</v>
      </c>
      <c r="D46" s="11">
        <v>1762</v>
      </c>
      <c r="E46" s="11" t="s">
        <v>133</v>
      </c>
      <c r="F46" s="11" t="s">
        <v>17</v>
      </c>
      <c r="G46" s="11" t="s">
        <v>101</v>
      </c>
      <c r="H46" s="12" t="s">
        <v>119</v>
      </c>
      <c r="I46" s="13">
        <v>61</v>
      </c>
      <c r="J46" s="13">
        <v>22</v>
      </c>
      <c r="K46" s="13">
        <v>83</v>
      </c>
      <c r="L46" s="11" t="s">
        <v>130</v>
      </c>
      <c r="M46" s="10" t="s">
        <v>181</v>
      </c>
      <c r="N46" s="14"/>
    </row>
    <row r="47" spans="1:14" ht="18" customHeight="1" x14ac:dyDescent="0.3">
      <c r="A47" s="17">
        <v>614</v>
      </c>
      <c r="B47" s="18" t="s">
        <v>102</v>
      </c>
      <c r="C47" s="18" t="s">
        <v>148</v>
      </c>
      <c r="D47" s="19">
        <v>1904</v>
      </c>
      <c r="E47" s="19" t="s">
        <v>147</v>
      </c>
      <c r="F47" s="19" t="s">
        <v>17</v>
      </c>
      <c r="G47" s="19" t="s">
        <v>103</v>
      </c>
      <c r="H47" s="18" t="s">
        <v>104</v>
      </c>
      <c r="I47" s="20">
        <v>11</v>
      </c>
      <c r="J47" s="20">
        <v>5</v>
      </c>
      <c r="K47" s="20">
        <v>16</v>
      </c>
      <c r="L47" s="19" t="s">
        <v>130</v>
      </c>
      <c r="M47" s="18" t="s">
        <v>149</v>
      </c>
      <c r="N47" s="21"/>
    </row>
    <row r="48" spans="1:14" ht="18" customHeight="1" x14ac:dyDescent="0.3">
      <c r="A48" s="3" t="s">
        <v>105</v>
      </c>
      <c r="B48" s="4"/>
      <c r="C48" s="4"/>
      <c r="D48" s="4"/>
      <c r="E48" s="24"/>
      <c r="F48" s="4"/>
      <c r="G48" s="4"/>
      <c r="H48" s="4"/>
      <c r="I48" s="5">
        <f>SUM(I1:I47)</f>
        <v>2518</v>
      </c>
      <c r="J48" s="5">
        <f>SUM(J1:J47)</f>
        <v>598.5</v>
      </c>
      <c r="K48" s="5">
        <f>SUM(K1:K47)</f>
        <v>3116.5</v>
      </c>
      <c r="L48" s="4"/>
      <c r="M48" s="4"/>
      <c r="N48" s="4"/>
    </row>
    <row r="49" spans="1:14" ht="19.95" customHeight="1" x14ac:dyDescent="0.3">
      <c r="A49" s="1"/>
      <c r="L49" s="1"/>
      <c r="M49" s="2"/>
      <c r="N49" s="2"/>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Mapas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José Ángel</cp:lastModifiedBy>
  <dcterms:created xsi:type="dcterms:W3CDTF">2026-04-18T09:29:52Z</dcterms:created>
  <dcterms:modified xsi:type="dcterms:W3CDTF">2026-05-01T08:23:59Z</dcterms:modified>
</cp:coreProperties>
</file>