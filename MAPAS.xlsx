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leccion-mapas\"/>
    </mc:Choice>
  </mc:AlternateContent>
  <xr:revisionPtr revIDLastSave="0" documentId="8_{31C0D188-B51A-49BF-9B3E-50DDA032D15D}" xr6:coauthVersionLast="47" xr6:coauthVersionMax="47" xr10:uidLastSave="{00000000-0000-0000-0000-000000000000}"/>
  <bookViews>
    <workbookView xWindow="6552" yWindow="1680" windowWidth="20988" windowHeight="10296" xr2:uid="{00000000-000D-0000-FFFF-FFFF00000000}"/>
  </bookViews>
  <sheets>
    <sheet name="Mapas" sheetId="1" r:id="rId1"/>
  </sheets>
  <definedNames>
    <definedName name="_xlnm._FilterDatabase" localSheetId="0" hidden="1">Mapas!$A$1:$N$1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1" l="1"/>
  <c r="J48" i="1"/>
  <c r="I48" i="1"/>
</calcChain>
</file>

<file path=xl/sharedStrings.xml><?xml version="1.0" encoding="utf-8"?>
<sst xmlns="http://schemas.openxmlformats.org/spreadsheetml/2006/main" count="286" uniqueCount="166">
  <si>
    <t>SKU</t>
  </si>
  <si>
    <t>Título</t>
  </si>
  <si>
    <t>Autor/es</t>
  </si>
  <si>
    <t>Fecha del mapa</t>
  </si>
  <si>
    <t>Dimensiones (cm)</t>
  </si>
  <si>
    <t>Coloreado</t>
  </si>
  <si>
    <t>Fecha de compra</t>
  </si>
  <si>
    <t>Vendedor</t>
  </si>
  <si>
    <t>Precio</t>
  </si>
  <si>
    <t>Portes</t>
  </si>
  <si>
    <t>Total</t>
  </si>
  <si>
    <t>Archivador</t>
  </si>
  <si>
    <t>Notas</t>
  </si>
  <si>
    <t>Anotaciones</t>
  </si>
  <si>
    <t>Inglaterra dividida en 5 partes y 52 condados</t>
  </si>
  <si>
    <t>Louis Brion De La Tour / Louis Desnos</t>
  </si>
  <si>
    <t>52 x 33</t>
  </si>
  <si>
    <t>Sí</t>
  </si>
  <si>
    <t>23/09/2020</t>
  </si>
  <si>
    <t>A2</t>
  </si>
  <si>
    <t>"Atlas général, méthodique et élémentaire pour l'étude de la géographie et de l'histoire moderne, dressé. par une Société d'ingénieurs géographes du Roi [principalement par L. Brion de La Tour]. Avec des descriptions historiques et géographiques. par M. Maclot,. Mis au jour et exécuté par le Sr Desnos.armoire......PARIS, 1798"</t>
  </si>
  <si>
    <t>Irlanda dividida en provincias</t>
  </si>
  <si>
    <t>Atlas général, méthodique et élémentaire pour l'étude de la géographie et de l'histoire moderne, dressé. par une Société d'ingénieurs géographes du Roi [principalement par L. Brion de La Tour]. Avec des descriptions historiques et géographiques. par M. Maclot,. Mis au jour et exécuté par le Sr Desnos.armoire......PARIS, 1798 Original grabado en cobre</t>
  </si>
  <si>
    <t>Mapa ANDALUZIA</t>
  </si>
  <si>
    <t>1655</t>
  </si>
  <si>
    <t>21/10/2020</t>
  </si>
  <si>
    <t>13/03/2020</t>
  </si>
  <si>
    <t>18/03/2021</t>
  </si>
  <si>
    <t>Catawiki - Elybetty</t>
  </si>
  <si>
    <t>América meridional</t>
  </si>
  <si>
    <t>Jacques Chiquet</t>
  </si>
  <si>
    <t>1701-1720</t>
  </si>
  <si>
    <t>13/02/2025</t>
  </si>
  <si>
    <t>Estrecho de Gibraltar</t>
  </si>
  <si>
    <t>Van der Aa / Alvarez de Colmenar</t>
  </si>
  <si>
    <t>08/01/2025</t>
  </si>
  <si>
    <t>Vista de Gibraltar</t>
  </si>
  <si>
    <t>Mapa de la isla de Tahití</t>
  </si>
  <si>
    <t>Jacques Rénaud Bernard</t>
  </si>
  <si>
    <t>1761-1780</t>
  </si>
  <si>
    <t>21/02/2025</t>
  </si>
  <si>
    <t>Mapa de la islas Malvinas</t>
  </si>
  <si>
    <t>Mapa Argentina Austral</t>
  </si>
  <si>
    <t>La Haye / P. de Hondt / J.N. Bellin</t>
  </si>
  <si>
    <t>28/02/2025</t>
  </si>
  <si>
    <t>Mapa Argentina</t>
  </si>
  <si>
    <t>Estrecho de Magallanes -J.N. Bellin &amp; A.F. Prevost</t>
  </si>
  <si>
    <t>1761</t>
  </si>
  <si>
    <t>Mapa Mundi Hérisson</t>
  </si>
  <si>
    <t>1801-1820</t>
  </si>
  <si>
    <t>Australia polo sur</t>
  </si>
  <si>
    <t>Desconocido 1701</t>
  </si>
  <si>
    <t>1720</t>
  </si>
  <si>
    <t>Mapa Río de la Plata</t>
  </si>
  <si>
    <t>14/03/2025</t>
  </si>
  <si>
    <t>Mapa de la Guyana</t>
  </si>
  <si>
    <t>Mapa de Malvinas</t>
  </si>
  <si>
    <t>21/03/2025</t>
  </si>
  <si>
    <t>Mapa de Sudamérica</t>
  </si>
  <si>
    <t>Isaäk Tirion</t>
  </si>
  <si>
    <t>28/03/2025</t>
  </si>
  <si>
    <t>ANTONIO ZATTA</t>
  </si>
  <si>
    <t>América del Sur</t>
  </si>
  <si>
    <t>Lapie - Malte-Brun</t>
  </si>
  <si>
    <t>América</t>
  </si>
  <si>
    <t>Extremo meridional</t>
  </si>
  <si>
    <t>03/04/2025</t>
  </si>
  <si>
    <t>Rigobert Bonne</t>
  </si>
  <si>
    <t>Mapamundi</t>
  </si>
  <si>
    <t>Hemisferio Septentrional - Desmarest &amp; Bonne</t>
  </si>
  <si>
    <t>13/03/2025</t>
  </si>
  <si>
    <t>Hemisferio Meridional - Desmarest &amp; Bonne</t>
  </si>
  <si>
    <t>Sudamerica</t>
  </si>
  <si>
    <t>ZATTA</t>
  </si>
  <si>
    <t>08/05/2025</t>
  </si>
  <si>
    <t>mapamundi</t>
  </si>
  <si>
    <t>MOUTARD</t>
  </si>
  <si>
    <t>ARGENTINA</t>
  </si>
  <si>
    <t>Estrecho de Magallanes</t>
  </si>
  <si>
    <t>14/05/2025</t>
  </si>
  <si>
    <t>Estrecho de Le Maire o San Vicente</t>
  </si>
  <si>
    <t>MOUTARD-DE LA PORTE</t>
  </si>
  <si>
    <t>Amerique Meridionale</t>
  </si>
  <si>
    <t>05/06/2025</t>
  </si>
  <si>
    <t>Mapa Estrecho de Magallanes</t>
  </si>
  <si>
    <t>Bellin</t>
  </si>
  <si>
    <t>1751-1760</t>
  </si>
  <si>
    <t>26/06/2025</t>
  </si>
  <si>
    <t>Mapa Sudamérica</t>
  </si>
  <si>
    <t>Lapie</t>
  </si>
  <si>
    <t>21/08/2025</t>
  </si>
  <si>
    <t>Argentina</t>
  </si>
  <si>
    <t>ADRIEN BRUE</t>
  </si>
  <si>
    <t>08/01/1</t>
  </si>
  <si>
    <t>Tierra de fuego</t>
  </si>
  <si>
    <t>Vivien Saint Martin</t>
  </si>
  <si>
    <t>12/09/2025</t>
  </si>
  <si>
    <t>Buenos Aires</t>
  </si>
  <si>
    <t>03/10/2025</t>
  </si>
  <si>
    <t>Tierra del Fuego / Patagonia / Chile / Argentina; A. Stieler / G.J. Perthes</t>
  </si>
  <si>
    <t>Mapa del Río de la Plata</t>
  </si>
  <si>
    <t>23/10/2025</t>
  </si>
  <si>
    <t>Sudamérica</t>
  </si>
  <si>
    <t>La Haye</t>
  </si>
  <si>
    <t>Sudamérica Meridional</t>
  </si>
  <si>
    <t>La Haye, P. de Hondt / J.N. Bellin / A.F. Prevost</t>
  </si>
  <si>
    <t>28/10/2025</t>
  </si>
  <si>
    <t>Malvinas</t>
  </si>
  <si>
    <t>BONNE &amp; DESMAREST</t>
  </si>
  <si>
    <t>1787</t>
  </si>
  <si>
    <t>25/11/2025</t>
  </si>
  <si>
    <t>S. Augustus Mitchell</t>
  </si>
  <si>
    <t>1851-1860</t>
  </si>
  <si>
    <t>20/02/2026</t>
  </si>
  <si>
    <t>Nicolas BELLIN</t>
  </si>
  <si>
    <t>03/03/2026</t>
  </si>
  <si>
    <t>13/03/2026</t>
  </si>
  <si>
    <t>07/04/2026</t>
  </si>
  <si>
    <t>Tierra Magallánica</t>
  </si>
  <si>
    <t>15/04/2026</t>
  </si>
  <si>
    <t>Ebay-Staffordshirecurious</t>
  </si>
  <si>
    <t>TOTAL</t>
  </si>
  <si>
    <t>Abraham Ortelius (autor) / Turrini (editor)</t>
  </si>
  <si>
    <t>7,5 x 10</t>
  </si>
  <si>
    <t xml:space="preserve">Página 24, mapa de Andalucía, del Atlas de Abraham Ortelius, «Theatrum orbis terrarum», de 1577, impreso en Venecia por Turrini en 1655. </t>
  </si>
  <si>
    <t>Regalado a Ana, la jueza</t>
  </si>
  <si>
    <t>25,5 x 37</t>
  </si>
  <si>
    <t>Carte de la partie Septentrionale d'Afrique ou de la Barbarie</t>
  </si>
  <si>
    <t>M. Bonne (cartógrafo) / Pellet (editor)</t>
  </si>
  <si>
    <t>Mapa original denominado «Mapa de la parte septentrional de África o de la Berbería, con los reinos de Trípoli, Túnez, Argel, Fez y Marruecos», aproximadamente de 1780, tomado del "Atlas de Toutes les Parties Connues du Globe Terrestre… », editado en Ginebra por Pellet. Cartógrafo : M. Bonne. Grabado en cobre, en una doble hoja de 25,5 x 37 cm, en la que la imagen ocupa 21 x 23 cm. Estado excelente.</t>
  </si>
  <si>
    <t>13 x 17</t>
  </si>
  <si>
    <t>Castilia Vetus et Nova - 1635</t>
  </si>
  <si>
    <t>Hondious (cartógrafo) / Merula (editor)</t>
  </si>
  <si>
    <t>Autor: Merula; Mapmaker: Hondius; Editorial: G. Blaeu; Nota: de "Cosmographiae Generalis". Grabado original en cobre.</t>
  </si>
  <si>
    <t>Catawiki - Speculum</t>
  </si>
  <si>
    <t>Catawiki - Cartographiantiqua</t>
  </si>
  <si>
    <t>Catawiki - Mapminded</t>
  </si>
  <si>
    <t>Le Détroit de Gibraltar (1707). Grabado en cobre con mapa y dos vistas de la zona del Estrecho de Gibraltar. Pieter (o Pierre) van der Aa es editor de la obra ´Les royaumes d'Espagne et de Portugal, représentés en tailles-douces tres-exactes, dessinées sur les lieux mémes, qui comprennent les principales villes, forteresses, montagnes, eglises, monastéres, maisons royales, palais …´, primero publicada en neerlandés en la ciudad de Leiden en 1707. Es un libro que contiene 165 grabados numerados con vistas y mapas de regiones y ciudades en España. Ese mismo año apareció la edición francesa de esa obra, que volvería a editarse, también en francés, en 1715 y en 1741. Muy buen estado. Papel limpio y fuerte. Jamás plegado y margenes amplios. Coloreado a mano. Dorso blanco. Imagen 12,5x15cm en hoja de 18x22cm</t>
  </si>
  <si>
    <t>18 x 22</t>
  </si>
  <si>
    <t>Vue de Gibraltar (1707). Vista de Gibraltar, tambien por Van der Aa. Imagen 12,5x15cm en hoja de 18x22cm</t>
  </si>
  <si>
    <t>69 x 55</t>
  </si>
  <si>
    <t>61 x 41</t>
  </si>
  <si>
    <t>46 X 38</t>
  </si>
  <si>
    <t>45 x 36</t>
  </si>
  <si>
    <t>38 x 32</t>
  </si>
  <si>
    <t>67 x 54</t>
  </si>
  <si>
    <t>A3</t>
  </si>
  <si>
    <t>A4</t>
  </si>
  <si>
    <t>42 x 31</t>
  </si>
  <si>
    <t>37 x 28</t>
  </si>
  <si>
    <t>Paraguay, Chili, Terre Magellan</t>
  </si>
  <si>
    <t>Robert de Vaugondy</t>
  </si>
  <si>
    <t>26 x 38,5</t>
  </si>
  <si>
    <t>Carte du Chili, depuis le Sud du Pérou jusqu'au Cap Horn</t>
  </si>
  <si>
    <t>Bonne (cartógrafo) / Raynal (editor)</t>
  </si>
  <si>
    <t>Autor: Raynal; Cartógrafo: Bonne; Editorial: Pellet, Ginebra. Nota: de "Atlas de toutes les parties connues du Globe Terrestre"</t>
  </si>
  <si>
    <t>Catawiki - th map</t>
  </si>
  <si>
    <t>"Histoire generale des Voyages ou nouvelle collection de toutes les relations de voyages par mer et par terre". Nicolas Bellin. París 1747.</t>
  </si>
  <si>
    <t>Carte de l'Ocean Meridional</t>
  </si>
  <si>
    <t>Carte du Bresil et d'une partie des pats Adjacents</t>
  </si>
  <si>
    <t>"ATLAS UNIVERSEL de Geographie Physique, Politique, Ancienne et Moderne, Contenant les Cartes Generales et Particulieres......... A PARIS, 1826 ca."</t>
  </si>
  <si>
    <t>Adrien BRUE</t>
  </si>
  <si>
    <t>Catawiki</t>
  </si>
  <si>
    <t>34,5 x 24,5</t>
  </si>
  <si>
    <t>W.S. Barclay</t>
  </si>
  <si>
    <t>Tierra de Magallanes, con información sobre tribus de Tierra del Fuego. Ejemplar de 1903 de The Geographical Journal, editado por The Royal Geographical Society, Londres.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</si>
</sst>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entury Gothic"/>
    </font>
    <font>
      <sz val="10"/>
      <name val="Century Gothic"/>
    </font>
    <font>
      <b/>
      <sz val="10"/>
      <name val="Century Gothic"/>
    </font>
    <font>
      <sz val="1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D9E1EA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4" fontId="2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4" fontId="3" fillId="5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37" activePane="bottomLeft" state="frozen"/>
      <selection pane="bottomLeft" activeCell="L47" sqref="L47"/>
    </sheetView>
  </sheetViews>
  <sheetFormatPr baseColWidth="10" defaultColWidth="8.88671875" defaultRowHeight="14.4" x14ac:dyDescent="0.3"/>
  <cols>
    <col min="1" max="1" width="7" customWidth="1"/>
    <col min="2" max="3" width="45" customWidth="1"/>
    <col min="4" max="4" width="14" customWidth="1"/>
    <col min="5" max="5" width="16" customWidth="1"/>
    <col min="6" max="6" width="11" customWidth="1"/>
    <col min="7" max="7" width="15" customWidth="1"/>
    <col min="8" max="8" width="22" customWidth="1"/>
    <col min="9" max="11" width="11" customWidth="1"/>
    <col min="12" max="12" width="12" customWidth="1"/>
    <col min="13" max="14" width="50" customWidth="1"/>
  </cols>
  <sheetData>
    <row r="1" spans="1:14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8" customHeight="1" x14ac:dyDescent="0.3">
      <c r="A2" s="2">
        <v>139</v>
      </c>
      <c r="B2" s="3" t="s">
        <v>14</v>
      </c>
      <c r="C2" s="3" t="s">
        <v>15</v>
      </c>
      <c r="D2" s="2">
        <v>1798</v>
      </c>
      <c r="E2" s="3" t="s">
        <v>16</v>
      </c>
      <c r="F2" s="2" t="s">
        <v>17</v>
      </c>
      <c r="G2" s="2" t="s">
        <v>18</v>
      </c>
      <c r="H2" s="11" t="s">
        <v>135</v>
      </c>
      <c r="I2" s="4">
        <v>28</v>
      </c>
      <c r="J2" s="4">
        <v>8</v>
      </c>
      <c r="K2" s="4">
        <v>36</v>
      </c>
      <c r="L2" s="2" t="s">
        <v>19</v>
      </c>
      <c r="M2" s="3" t="s">
        <v>20</v>
      </c>
      <c r="N2" s="3"/>
    </row>
    <row r="3" spans="1:14" ht="18" customHeight="1" x14ac:dyDescent="0.3">
      <c r="A3" s="5">
        <v>140</v>
      </c>
      <c r="B3" s="6" t="s">
        <v>21</v>
      </c>
      <c r="C3" s="6" t="s">
        <v>15</v>
      </c>
      <c r="D3" s="5">
        <v>1798</v>
      </c>
      <c r="E3" s="6" t="s">
        <v>16</v>
      </c>
      <c r="F3" s="5" t="s">
        <v>17</v>
      </c>
      <c r="G3" s="5" t="s">
        <v>18</v>
      </c>
      <c r="H3" s="11" t="s">
        <v>135</v>
      </c>
      <c r="I3" s="7">
        <v>28</v>
      </c>
      <c r="J3" s="7">
        <v>8</v>
      </c>
      <c r="K3" s="7">
        <v>36</v>
      </c>
      <c r="L3" s="5" t="s">
        <v>19</v>
      </c>
      <c r="M3" s="6" t="s">
        <v>22</v>
      </c>
      <c r="N3" s="6"/>
    </row>
    <row r="4" spans="1:14" ht="18" customHeight="1" x14ac:dyDescent="0.3">
      <c r="A4" s="2">
        <v>175</v>
      </c>
      <c r="B4" s="3" t="s">
        <v>23</v>
      </c>
      <c r="C4" s="11" t="s">
        <v>122</v>
      </c>
      <c r="D4" s="2" t="s">
        <v>24</v>
      </c>
      <c r="E4" s="11" t="s">
        <v>123</v>
      </c>
      <c r="F4" s="12" t="s">
        <v>17</v>
      </c>
      <c r="G4" s="2" t="s">
        <v>25</v>
      </c>
      <c r="H4" s="11" t="s">
        <v>134</v>
      </c>
      <c r="I4" s="4">
        <v>69</v>
      </c>
      <c r="J4" s="4">
        <v>16</v>
      </c>
      <c r="K4" s="4">
        <v>85</v>
      </c>
      <c r="L4" s="2"/>
      <c r="M4" s="11" t="s">
        <v>124</v>
      </c>
      <c r="N4" s="11" t="s">
        <v>125</v>
      </c>
    </row>
    <row r="5" spans="1:14" ht="18" customHeight="1" x14ac:dyDescent="0.3">
      <c r="A5" s="5">
        <v>219</v>
      </c>
      <c r="B5" s="6" t="s">
        <v>127</v>
      </c>
      <c r="C5" s="13" t="s">
        <v>128</v>
      </c>
      <c r="D5" s="5">
        <v>1780</v>
      </c>
      <c r="E5" s="13" t="s">
        <v>126</v>
      </c>
      <c r="F5" s="14" t="s">
        <v>17</v>
      </c>
      <c r="G5" s="5" t="s">
        <v>26</v>
      </c>
      <c r="H5" s="3" t="s">
        <v>28</v>
      </c>
      <c r="I5" s="7">
        <v>30</v>
      </c>
      <c r="J5" s="7">
        <v>15</v>
      </c>
      <c r="K5" s="7">
        <v>45</v>
      </c>
      <c r="L5" s="5" t="s">
        <v>146</v>
      </c>
      <c r="M5" s="13" t="s">
        <v>129</v>
      </c>
      <c r="N5" s="6"/>
    </row>
    <row r="6" spans="1:14" ht="18" customHeight="1" x14ac:dyDescent="0.3">
      <c r="A6" s="2">
        <v>230</v>
      </c>
      <c r="B6" s="3" t="s">
        <v>131</v>
      </c>
      <c r="C6" s="11" t="s">
        <v>132</v>
      </c>
      <c r="D6" s="2">
        <v>1635</v>
      </c>
      <c r="E6" s="11" t="s">
        <v>130</v>
      </c>
      <c r="F6" s="12" t="s">
        <v>17</v>
      </c>
      <c r="G6" s="2" t="s">
        <v>27</v>
      </c>
      <c r="H6" s="3" t="s">
        <v>28</v>
      </c>
      <c r="I6" s="4">
        <v>45</v>
      </c>
      <c r="J6" s="4">
        <v>15</v>
      </c>
      <c r="K6" s="4">
        <v>60</v>
      </c>
      <c r="L6" s="2"/>
      <c r="M6" s="11" t="s">
        <v>133</v>
      </c>
      <c r="N6" s="3"/>
    </row>
    <row r="7" spans="1:14" ht="18" customHeight="1" x14ac:dyDescent="0.3">
      <c r="A7" s="5">
        <v>574</v>
      </c>
      <c r="B7" s="6" t="s">
        <v>29</v>
      </c>
      <c r="C7" s="6" t="s">
        <v>30</v>
      </c>
      <c r="D7" s="5" t="s">
        <v>31</v>
      </c>
      <c r="E7" s="6"/>
      <c r="F7" s="5"/>
      <c r="G7" s="5" t="s">
        <v>32</v>
      </c>
      <c r="H7" s="6" t="s">
        <v>162</v>
      </c>
      <c r="I7" s="7">
        <v>74</v>
      </c>
      <c r="J7" s="7">
        <v>22</v>
      </c>
      <c r="K7" s="7">
        <v>96</v>
      </c>
      <c r="L7" s="5" t="s">
        <v>147</v>
      </c>
      <c r="M7" s="6"/>
      <c r="N7" s="6"/>
    </row>
    <row r="8" spans="1:14" ht="18" customHeight="1" x14ac:dyDescent="0.3">
      <c r="A8" s="2">
        <v>575</v>
      </c>
      <c r="B8" s="3" t="s">
        <v>33</v>
      </c>
      <c r="C8" s="3" t="s">
        <v>34</v>
      </c>
      <c r="D8" s="5" t="s">
        <v>31</v>
      </c>
      <c r="E8" s="11" t="s">
        <v>138</v>
      </c>
      <c r="F8" s="12" t="s">
        <v>17</v>
      </c>
      <c r="G8" s="2" t="s">
        <v>35</v>
      </c>
      <c r="H8" s="11" t="s">
        <v>136</v>
      </c>
      <c r="I8" s="4">
        <v>34</v>
      </c>
      <c r="J8" s="4">
        <v>4</v>
      </c>
      <c r="K8" s="4">
        <v>38</v>
      </c>
      <c r="L8" s="2"/>
      <c r="M8" s="3" t="s">
        <v>137</v>
      </c>
      <c r="N8" s="3"/>
    </row>
    <row r="9" spans="1:14" ht="18" customHeight="1" x14ac:dyDescent="0.3">
      <c r="A9" s="5">
        <v>576</v>
      </c>
      <c r="B9" s="6" t="s">
        <v>36</v>
      </c>
      <c r="C9" s="6" t="s">
        <v>34</v>
      </c>
      <c r="D9" s="5" t="s">
        <v>31</v>
      </c>
      <c r="E9" s="13" t="s">
        <v>138</v>
      </c>
      <c r="F9" s="14" t="s">
        <v>17</v>
      </c>
      <c r="G9" s="5" t="s">
        <v>35</v>
      </c>
      <c r="H9" s="11" t="s">
        <v>136</v>
      </c>
      <c r="I9" s="7">
        <v>34</v>
      </c>
      <c r="J9" s="7">
        <v>4</v>
      </c>
      <c r="K9" s="7">
        <v>38</v>
      </c>
      <c r="L9" s="5"/>
      <c r="M9" s="6" t="s">
        <v>139</v>
      </c>
      <c r="N9" s="6"/>
    </row>
    <row r="10" spans="1:14" ht="18" customHeight="1" x14ac:dyDescent="0.3">
      <c r="A10" s="2">
        <v>577</v>
      </c>
      <c r="B10" s="3" t="s">
        <v>37</v>
      </c>
      <c r="C10" s="3" t="s">
        <v>38</v>
      </c>
      <c r="D10" s="2" t="s">
        <v>39</v>
      </c>
      <c r="E10" s="3"/>
      <c r="F10" s="2"/>
      <c r="G10" s="2" t="s">
        <v>40</v>
      </c>
      <c r="H10" s="3" t="s">
        <v>162</v>
      </c>
      <c r="I10" s="4">
        <v>56</v>
      </c>
      <c r="J10" s="4">
        <v>8</v>
      </c>
      <c r="K10" s="4">
        <v>64</v>
      </c>
      <c r="L10" s="2" t="s">
        <v>19</v>
      </c>
      <c r="M10" s="3"/>
      <c r="N10" s="3"/>
    </row>
    <row r="11" spans="1:14" ht="18" customHeight="1" x14ac:dyDescent="0.3">
      <c r="A11" s="5">
        <v>578</v>
      </c>
      <c r="B11" s="6" t="s">
        <v>41</v>
      </c>
      <c r="C11" s="6" t="s">
        <v>38</v>
      </c>
      <c r="D11" s="5" t="s">
        <v>39</v>
      </c>
      <c r="E11" s="6"/>
      <c r="F11" s="5"/>
      <c r="G11" s="5" t="s">
        <v>40</v>
      </c>
      <c r="H11" s="3" t="s">
        <v>162</v>
      </c>
      <c r="I11" s="7">
        <v>56</v>
      </c>
      <c r="J11" s="7">
        <v>8</v>
      </c>
      <c r="K11" s="7">
        <v>64</v>
      </c>
      <c r="L11" s="5" t="s">
        <v>19</v>
      </c>
      <c r="M11" s="6"/>
      <c r="N11" s="6"/>
    </row>
    <row r="12" spans="1:14" ht="18" customHeight="1" x14ac:dyDescent="0.3">
      <c r="A12" s="2">
        <v>579</v>
      </c>
      <c r="B12" s="3" t="s">
        <v>42</v>
      </c>
      <c r="C12" s="3" t="s">
        <v>43</v>
      </c>
      <c r="D12" s="2"/>
      <c r="E12" s="3"/>
      <c r="F12" s="2"/>
      <c r="G12" s="2" t="s">
        <v>44</v>
      </c>
      <c r="H12" s="3" t="s">
        <v>162</v>
      </c>
      <c r="I12" s="4">
        <v>142</v>
      </c>
      <c r="J12" s="4">
        <v>11</v>
      </c>
      <c r="K12" s="4">
        <v>153</v>
      </c>
      <c r="L12" s="2" t="s">
        <v>19</v>
      </c>
      <c r="M12" s="3"/>
      <c r="N12" s="3"/>
    </row>
    <row r="13" spans="1:14" ht="18" customHeight="1" x14ac:dyDescent="0.3">
      <c r="A13" s="5">
        <v>580</v>
      </c>
      <c r="B13" s="6" t="s">
        <v>45</v>
      </c>
      <c r="C13" s="6" t="s">
        <v>46</v>
      </c>
      <c r="D13" s="5" t="s">
        <v>47</v>
      </c>
      <c r="E13" s="6"/>
      <c r="F13" s="5"/>
      <c r="G13" s="5" t="s">
        <v>44</v>
      </c>
      <c r="H13" s="3" t="s">
        <v>162</v>
      </c>
      <c r="I13" s="7">
        <v>40</v>
      </c>
      <c r="J13" s="7">
        <v>11</v>
      </c>
      <c r="K13" s="7">
        <v>51</v>
      </c>
      <c r="L13" s="5" t="s">
        <v>146</v>
      </c>
      <c r="M13" s="6"/>
      <c r="N13" s="6"/>
    </row>
    <row r="14" spans="1:14" ht="18" customHeight="1" x14ac:dyDescent="0.3">
      <c r="A14" s="2">
        <v>581</v>
      </c>
      <c r="B14" s="3" t="s">
        <v>48</v>
      </c>
      <c r="C14" s="3"/>
      <c r="D14" s="2" t="s">
        <v>49</v>
      </c>
      <c r="E14" s="3"/>
      <c r="F14" s="2"/>
      <c r="G14" s="2" t="s">
        <v>44</v>
      </c>
      <c r="H14" s="3" t="s">
        <v>162</v>
      </c>
      <c r="I14" s="4">
        <v>90</v>
      </c>
      <c r="J14" s="4">
        <v>20</v>
      </c>
      <c r="K14" s="4">
        <v>110</v>
      </c>
      <c r="L14" s="2" t="s">
        <v>147</v>
      </c>
      <c r="M14" s="3"/>
      <c r="N14" s="3"/>
    </row>
    <row r="15" spans="1:14" ht="18" customHeight="1" x14ac:dyDescent="0.3">
      <c r="A15" s="5">
        <v>582</v>
      </c>
      <c r="B15" s="6" t="s">
        <v>50</v>
      </c>
      <c r="C15" s="6" t="s">
        <v>51</v>
      </c>
      <c r="D15" s="5" t="s">
        <v>52</v>
      </c>
      <c r="E15" s="6"/>
      <c r="F15" s="5"/>
      <c r="G15" s="5" t="s">
        <v>40</v>
      </c>
      <c r="H15" s="3" t="s">
        <v>162</v>
      </c>
      <c r="I15" s="7">
        <v>112</v>
      </c>
      <c r="J15" s="7">
        <v>20</v>
      </c>
      <c r="K15" s="7">
        <v>132</v>
      </c>
      <c r="L15" s="5" t="s">
        <v>147</v>
      </c>
      <c r="M15" s="6"/>
      <c r="N15" s="6"/>
    </row>
    <row r="16" spans="1:14" ht="18" customHeight="1" x14ac:dyDescent="0.3">
      <c r="A16" s="2">
        <v>583</v>
      </c>
      <c r="B16" s="3" t="s">
        <v>53</v>
      </c>
      <c r="C16" s="3"/>
      <c r="D16" s="2"/>
      <c r="E16" s="3"/>
      <c r="F16" s="2"/>
      <c r="G16" s="2" t="s">
        <v>54</v>
      </c>
      <c r="H16" s="3" t="s">
        <v>162</v>
      </c>
      <c r="I16" s="4">
        <v>24</v>
      </c>
      <c r="J16" s="4"/>
      <c r="K16" s="4">
        <v>24</v>
      </c>
      <c r="L16" s="2" t="s">
        <v>146</v>
      </c>
      <c r="M16" s="3"/>
      <c r="N16" s="3"/>
    </row>
    <row r="17" spans="1:14" ht="18" customHeight="1" x14ac:dyDescent="0.3">
      <c r="A17" s="5">
        <v>584</v>
      </c>
      <c r="B17" s="6" t="s">
        <v>55</v>
      </c>
      <c r="C17" s="6"/>
      <c r="D17" s="5"/>
      <c r="E17" s="6"/>
      <c r="F17" s="5"/>
      <c r="G17" s="5" t="s">
        <v>54</v>
      </c>
      <c r="H17" s="3" t="s">
        <v>162</v>
      </c>
      <c r="I17" s="7">
        <v>24</v>
      </c>
      <c r="J17" s="7"/>
      <c r="K17" s="7">
        <v>24</v>
      </c>
      <c r="L17" s="5" t="s">
        <v>146</v>
      </c>
      <c r="M17" s="6"/>
      <c r="N17" s="6"/>
    </row>
    <row r="18" spans="1:14" ht="18" customHeight="1" x14ac:dyDescent="0.3">
      <c r="A18" s="2">
        <v>585</v>
      </c>
      <c r="B18" s="3" t="s">
        <v>56</v>
      </c>
      <c r="C18" s="3"/>
      <c r="D18" s="2"/>
      <c r="E18" s="3"/>
      <c r="F18" s="2"/>
      <c r="G18" s="2" t="s">
        <v>57</v>
      </c>
      <c r="H18" s="3" t="s">
        <v>162</v>
      </c>
      <c r="I18" s="4">
        <v>30</v>
      </c>
      <c r="J18" s="4">
        <v>7.5</v>
      </c>
      <c r="K18" s="4">
        <v>37.5</v>
      </c>
      <c r="L18" s="2" t="s">
        <v>146</v>
      </c>
      <c r="M18" s="3"/>
      <c r="N18" s="3"/>
    </row>
    <row r="19" spans="1:14" ht="18" customHeight="1" x14ac:dyDescent="0.3">
      <c r="A19" s="5">
        <v>586</v>
      </c>
      <c r="B19" s="6" t="s">
        <v>58</v>
      </c>
      <c r="C19" s="6" t="s">
        <v>59</v>
      </c>
      <c r="D19" s="5"/>
      <c r="E19" s="6"/>
      <c r="F19" s="5"/>
      <c r="G19" s="5" t="s">
        <v>60</v>
      </c>
      <c r="H19" s="3" t="s">
        <v>162</v>
      </c>
      <c r="I19" s="7">
        <v>91</v>
      </c>
      <c r="J19" s="7">
        <v>16</v>
      </c>
      <c r="K19" s="7">
        <v>107</v>
      </c>
      <c r="L19" s="5" t="s">
        <v>19</v>
      </c>
      <c r="M19" s="6"/>
      <c r="N19" s="6"/>
    </row>
    <row r="20" spans="1:14" ht="18" customHeight="1" x14ac:dyDescent="0.3">
      <c r="A20" s="2">
        <v>587</v>
      </c>
      <c r="B20" s="3" t="s">
        <v>58</v>
      </c>
      <c r="C20" s="3" t="s">
        <v>61</v>
      </c>
      <c r="D20" s="2"/>
      <c r="E20" s="3"/>
      <c r="F20" s="2"/>
      <c r="G20" s="2" t="s">
        <v>60</v>
      </c>
      <c r="H20" s="3" t="s">
        <v>162</v>
      </c>
      <c r="I20" s="4">
        <v>91</v>
      </c>
      <c r="J20" s="4">
        <v>22</v>
      </c>
      <c r="K20" s="4">
        <v>113</v>
      </c>
      <c r="L20" s="2" t="s">
        <v>19</v>
      </c>
      <c r="M20" s="3"/>
      <c r="N20" s="3"/>
    </row>
    <row r="21" spans="1:14" ht="18" customHeight="1" x14ac:dyDescent="0.3">
      <c r="A21" s="2">
        <v>588</v>
      </c>
      <c r="B21" s="3" t="s">
        <v>64</v>
      </c>
      <c r="C21" s="3" t="s">
        <v>65</v>
      </c>
      <c r="D21" s="2"/>
      <c r="E21" s="3"/>
      <c r="F21" s="2"/>
      <c r="G21" s="2" t="s">
        <v>66</v>
      </c>
      <c r="H21" s="3" t="s">
        <v>162</v>
      </c>
      <c r="I21" s="4">
        <v>112</v>
      </c>
      <c r="J21" s="4">
        <v>11</v>
      </c>
      <c r="K21" s="4">
        <v>123</v>
      </c>
      <c r="L21" s="2" t="s">
        <v>146</v>
      </c>
      <c r="M21" s="3"/>
      <c r="N21" s="3"/>
    </row>
    <row r="22" spans="1:14" ht="18" customHeight="1" x14ac:dyDescent="0.3">
      <c r="A22" s="5">
        <v>589</v>
      </c>
      <c r="B22" s="6" t="s">
        <v>62</v>
      </c>
      <c r="C22" s="6" t="s">
        <v>67</v>
      </c>
      <c r="D22" s="5"/>
      <c r="E22" s="6"/>
      <c r="F22" s="5"/>
      <c r="G22" s="5" t="s">
        <v>66</v>
      </c>
      <c r="H22" s="3" t="s">
        <v>162</v>
      </c>
      <c r="I22" s="7">
        <v>51</v>
      </c>
      <c r="J22" s="7">
        <v>11</v>
      </c>
      <c r="K22" s="7">
        <v>62</v>
      </c>
      <c r="L22" s="5" t="s">
        <v>146</v>
      </c>
      <c r="M22" s="6"/>
      <c r="N22" s="6"/>
    </row>
    <row r="23" spans="1:14" ht="18" customHeight="1" x14ac:dyDescent="0.3">
      <c r="A23" s="2">
        <v>590</v>
      </c>
      <c r="B23" s="3" t="s">
        <v>68</v>
      </c>
      <c r="C23" s="3" t="s">
        <v>69</v>
      </c>
      <c r="D23" s="2"/>
      <c r="E23" s="3"/>
      <c r="F23" s="2"/>
      <c r="G23" s="2" t="s">
        <v>70</v>
      </c>
      <c r="H23" s="3" t="s">
        <v>162</v>
      </c>
      <c r="I23" s="4">
        <v>28</v>
      </c>
      <c r="J23" s="4"/>
      <c r="K23" s="4">
        <v>28</v>
      </c>
      <c r="L23" s="2" t="s">
        <v>19</v>
      </c>
      <c r="M23" s="3"/>
      <c r="N23" s="3"/>
    </row>
    <row r="24" spans="1:14" ht="18" customHeight="1" x14ac:dyDescent="0.3">
      <c r="A24" s="5">
        <v>591</v>
      </c>
      <c r="B24" s="6" t="s">
        <v>68</v>
      </c>
      <c r="C24" s="6" t="s">
        <v>71</v>
      </c>
      <c r="D24" s="5"/>
      <c r="E24" s="6"/>
      <c r="F24" s="5"/>
      <c r="G24" s="5" t="s">
        <v>70</v>
      </c>
      <c r="H24" s="3" t="s">
        <v>162</v>
      </c>
      <c r="I24" s="7">
        <v>28</v>
      </c>
      <c r="J24" s="7"/>
      <c r="K24" s="7">
        <v>28</v>
      </c>
      <c r="L24" s="5" t="s">
        <v>19</v>
      </c>
      <c r="M24" s="6"/>
      <c r="N24" s="6"/>
    </row>
    <row r="25" spans="1:14" ht="18" customHeight="1" x14ac:dyDescent="0.3">
      <c r="A25" s="5">
        <v>592</v>
      </c>
      <c r="B25" s="6" t="s">
        <v>62</v>
      </c>
      <c r="C25" s="6" t="s">
        <v>63</v>
      </c>
      <c r="D25" s="5"/>
      <c r="E25" s="6"/>
      <c r="F25" s="5"/>
      <c r="G25" s="5"/>
      <c r="H25" s="3" t="s">
        <v>162</v>
      </c>
      <c r="I25" s="7">
        <v>112</v>
      </c>
      <c r="J25" s="7">
        <v>22</v>
      </c>
      <c r="K25" s="7">
        <v>134</v>
      </c>
      <c r="L25" s="5" t="s">
        <v>146</v>
      </c>
      <c r="M25" s="6"/>
      <c r="N25" s="6"/>
    </row>
    <row r="26" spans="1:14" ht="18" customHeight="1" x14ac:dyDescent="0.3">
      <c r="A26" s="2">
        <v>593</v>
      </c>
      <c r="B26" s="3" t="s">
        <v>72</v>
      </c>
      <c r="C26" s="3" t="s">
        <v>73</v>
      </c>
      <c r="D26" s="2"/>
      <c r="E26" s="3"/>
      <c r="F26" s="2"/>
      <c r="G26" s="2" t="s">
        <v>74</v>
      </c>
      <c r="H26" s="3" t="s">
        <v>162</v>
      </c>
      <c r="I26" s="4">
        <v>106</v>
      </c>
      <c r="J26" s="4">
        <v>11</v>
      </c>
      <c r="K26" s="4">
        <v>117</v>
      </c>
      <c r="L26" s="2" t="s">
        <v>19</v>
      </c>
      <c r="M26" s="3"/>
      <c r="N26" s="3"/>
    </row>
    <row r="27" spans="1:14" ht="18" customHeight="1" x14ac:dyDescent="0.3">
      <c r="A27" s="5">
        <v>594</v>
      </c>
      <c r="B27" s="6" t="s">
        <v>75</v>
      </c>
      <c r="C27" s="6" t="s">
        <v>76</v>
      </c>
      <c r="D27" s="5"/>
      <c r="E27" s="6"/>
      <c r="F27" s="5"/>
      <c r="G27" s="5" t="s">
        <v>74</v>
      </c>
      <c r="H27" s="3" t="s">
        <v>162</v>
      </c>
      <c r="I27" s="7">
        <v>83</v>
      </c>
      <c r="J27" s="7">
        <v>11</v>
      </c>
      <c r="K27" s="7">
        <v>94</v>
      </c>
      <c r="L27" s="5" t="s">
        <v>147</v>
      </c>
      <c r="M27" s="6"/>
      <c r="N27" s="6"/>
    </row>
    <row r="28" spans="1:14" ht="18" customHeight="1" x14ac:dyDescent="0.3">
      <c r="A28" s="2">
        <v>595</v>
      </c>
      <c r="B28" s="3" t="s">
        <v>77</v>
      </c>
      <c r="C28" s="3" t="s">
        <v>78</v>
      </c>
      <c r="D28" s="2"/>
      <c r="E28" s="3"/>
      <c r="F28" s="2"/>
      <c r="G28" s="2" t="s">
        <v>79</v>
      </c>
      <c r="H28" s="3" t="s">
        <v>162</v>
      </c>
      <c r="I28" s="4">
        <v>13</v>
      </c>
      <c r="J28" s="4">
        <v>6</v>
      </c>
      <c r="K28" s="4">
        <v>19</v>
      </c>
      <c r="L28" s="2" t="s">
        <v>146</v>
      </c>
      <c r="M28" s="3"/>
      <c r="N28" s="3"/>
    </row>
    <row r="29" spans="1:14" ht="18" customHeight="1" x14ac:dyDescent="0.3">
      <c r="A29" s="5">
        <v>596</v>
      </c>
      <c r="B29" s="6" t="s">
        <v>77</v>
      </c>
      <c r="C29" s="6" t="s">
        <v>80</v>
      </c>
      <c r="D29" s="5"/>
      <c r="E29" s="6"/>
      <c r="F29" s="5"/>
      <c r="G29" s="5" t="s">
        <v>79</v>
      </c>
      <c r="H29" s="3" t="s">
        <v>162</v>
      </c>
      <c r="I29" s="7">
        <v>13</v>
      </c>
      <c r="J29" s="7">
        <v>6</v>
      </c>
      <c r="K29" s="7">
        <v>19</v>
      </c>
      <c r="L29" s="5" t="s">
        <v>146</v>
      </c>
      <c r="M29" s="6"/>
      <c r="N29" s="6"/>
    </row>
    <row r="30" spans="1:14" ht="18" customHeight="1" x14ac:dyDescent="0.3">
      <c r="A30" s="2">
        <v>597</v>
      </c>
      <c r="B30" s="3" t="s">
        <v>77</v>
      </c>
      <c r="C30" s="3" t="s">
        <v>81</v>
      </c>
      <c r="D30" s="2"/>
      <c r="E30" s="3"/>
      <c r="F30" s="2"/>
      <c r="G30" s="2" t="s">
        <v>79</v>
      </c>
      <c r="H30" s="3" t="s">
        <v>162</v>
      </c>
      <c r="I30" s="4">
        <v>56</v>
      </c>
      <c r="J30" s="4">
        <v>11</v>
      </c>
      <c r="K30" s="4">
        <v>67</v>
      </c>
      <c r="L30" s="2" t="s">
        <v>147</v>
      </c>
      <c r="M30" s="3"/>
      <c r="N30" s="3"/>
    </row>
    <row r="31" spans="1:14" ht="18" customHeight="1" x14ac:dyDescent="0.3">
      <c r="A31" s="5">
        <v>598</v>
      </c>
      <c r="B31" s="6" t="s">
        <v>67</v>
      </c>
      <c r="C31" s="6" t="s">
        <v>82</v>
      </c>
      <c r="D31" s="5" t="s">
        <v>39</v>
      </c>
      <c r="E31" s="6"/>
      <c r="F31" s="5"/>
      <c r="G31" s="5" t="s">
        <v>83</v>
      </c>
      <c r="H31" s="3" t="s">
        <v>162</v>
      </c>
      <c r="I31" s="7">
        <v>30</v>
      </c>
      <c r="J31" s="7">
        <v>28</v>
      </c>
      <c r="K31" s="7">
        <v>58</v>
      </c>
      <c r="L31" s="5" t="s">
        <v>146</v>
      </c>
      <c r="M31" s="6"/>
      <c r="N31" s="6"/>
    </row>
    <row r="32" spans="1:14" ht="18" customHeight="1" x14ac:dyDescent="0.3">
      <c r="A32" s="2">
        <v>599</v>
      </c>
      <c r="B32" s="3" t="s">
        <v>84</v>
      </c>
      <c r="C32" s="3" t="s">
        <v>85</v>
      </c>
      <c r="D32" s="2" t="s">
        <v>86</v>
      </c>
      <c r="E32" s="3"/>
      <c r="F32" s="2"/>
      <c r="G32" s="2" t="s">
        <v>87</v>
      </c>
      <c r="H32" s="3" t="s">
        <v>162</v>
      </c>
      <c r="I32" s="4">
        <v>73</v>
      </c>
      <c r="J32" s="4">
        <v>19</v>
      </c>
      <c r="K32" s="4">
        <v>92</v>
      </c>
      <c r="L32" s="2"/>
      <c r="M32" s="3"/>
      <c r="N32" s="3"/>
    </row>
    <row r="33" spans="1:14" ht="18" customHeight="1" x14ac:dyDescent="0.3">
      <c r="A33" s="5">
        <v>600</v>
      </c>
      <c r="B33" s="6" t="s">
        <v>88</v>
      </c>
      <c r="C33" s="6" t="s">
        <v>89</v>
      </c>
      <c r="D33" s="5"/>
      <c r="E33" s="6"/>
      <c r="F33" s="5"/>
      <c r="G33" s="5" t="s">
        <v>90</v>
      </c>
      <c r="H33" s="3" t="s">
        <v>162</v>
      </c>
      <c r="I33" s="7">
        <v>30</v>
      </c>
      <c r="J33" s="7">
        <v>22</v>
      </c>
      <c r="K33" s="7">
        <v>52</v>
      </c>
      <c r="L33" s="5" t="s">
        <v>146</v>
      </c>
      <c r="M33" s="6"/>
      <c r="N33" s="6"/>
    </row>
    <row r="34" spans="1:14" ht="18" customHeight="1" x14ac:dyDescent="0.3">
      <c r="A34" s="2">
        <v>601</v>
      </c>
      <c r="B34" s="3" t="s">
        <v>91</v>
      </c>
      <c r="C34" s="3" t="s">
        <v>92</v>
      </c>
      <c r="D34" s="2"/>
      <c r="E34" s="3"/>
      <c r="F34" s="2"/>
      <c r="G34" s="2" t="s">
        <v>93</v>
      </c>
      <c r="H34" s="3" t="s">
        <v>162</v>
      </c>
      <c r="I34" s="4">
        <v>44</v>
      </c>
      <c r="J34" s="4">
        <v>11</v>
      </c>
      <c r="K34" s="4">
        <v>55</v>
      </c>
      <c r="L34" s="2" t="s">
        <v>19</v>
      </c>
      <c r="M34" s="3"/>
      <c r="N34" s="3"/>
    </row>
    <row r="35" spans="1:14" ht="18" customHeight="1" x14ac:dyDescent="0.3">
      <c r="A35" s="5">
        <v>602</v>
      </c>
      <c r="B35" s="6" t="s">
        <v>94</v>
      </c>
      <c r="C35" s="6" t="s">
        <v>95</v>
      </c>
      <c r="D35" s="5"/>
      <c r="E35" s="6" t="s">
        <v>140</v>
      </c>
      <c r="F35" s="5"/>
      <c r="G35" s="5" t="s">
        <v>96</v>
      </c>
      <c r="H35" s="3" t="s">
        <v>162</v>
      </c>
      <c r="I35" s="7">
        <v>44</v>
      </c>
      <c r="J35" s="7">
        <v>11</v>
      </c>
      <c r="K35" s="7">
        <v>55</v>
      </c>
      <c r="L35" s="5" t="s">
        <v>19</v>
      </c>
      <c r="M35" s="6"/>
      <c r="N35" s="6"/>
    </row>
    <row r="36" spans="1:14" ht="18" customHeight="1" x14ac:dyDescent="0.3">
      <c r="A36" s="2">
        <v>603</v>
      </c>
      <c r="B36" s="3" t="s">
        <v>97</v>
      </c>
      <c r="C36" s="3" t="s">
        <v>95</v>
      </c>
      <c r="D36" s="2"/>
      <c r="E36" s="3" t="s">
        <v>141</v>
      </c>
      <c r="F36" s="2"/>
      <c r="G36" s="2" t="s">
        <v>98</v>
      </c>
      <c r="H36" s="3" t="s">
        <v>162</v>
      </c>
      <c r="I36" s="4">
        <v>7</v>
      </c>
      <c r="J36" s="4">
        <v>22</v>
      </c>
      <c r="K36" s="4">
        <v>29</v>
      </c>
      <c r="L36" s="2" t="s">
        <v>19</v>
      </c>
      <c r="M36" s="3"/>
      <c r="N36" s="3"/>
    </row>
    <row r="37" spans="1:14" ht="18" customHeight="1" x14ac:dyDescent="0.3">
      <c r="A37" s="5">
        <v>604</v>
      </c>
      <c r="B37" s="6" t="s">
        <v>99</v>
      </c>
      <c r="C37" s="6"/>
      <c r="D37" s="5"/>
      <c r="E37" s="6" t="s">
        <v>142</v>
      </c>
      <c r="F37" s="5"/>
      <c r="G37" s="5"/>
      <c r="H37" s="3" t="s">
        <v>162</v>
      </c>
      <c r="I37" s="7">
        <v>48</v>
      </c>
      <c r="J37" s="7">
        <v>22</v>
      </c>
      <c r="K37" s="7">
        <v>70</v>
      </c>
      <c r="L37" s="5" t="s">
        <v>19</v>
      </c>
      <c r="M37" s="6"/>
      <c r="N37" s="6"/>
    </row>
    <row r="38" spans="1:14" ht="18" customHeight="1" x14ac:dyDescent="0.3">
      <c r="A38" s="2">
        <v>605</v>
      </c>
      <c r="B38" s="3" t="s">
        <v>100</v>
      </c>
      <c r="C38" s="3"/>
      <c r="D38" s="2"/>
      <c r="E38" s="3"/>
      <c r="F38" s="2"/>
      <c r="G38" s="2" t="s">
        <v>101</v>
      </c>
      <c r="H38" s="3" t="s">
        <v>162</v>
      </c>
      <c r="I38" s="4">
        <v>53</v>
      </c>
      <c r="J38" s="4">
        <v>11</v>
      </c>
      <c r="K38" s="4">
        <v>64</v>
      </c>
      <c r="L38" s="2" t="s">
        <v>146</v>
      </c>
      <c r="M38" s="3"/>
      <c r="N38" s="3"/>
    </row>
    <row r="39" spans="1:14" ht="18" customHeight="1" x14ac:dyDescent="0.3">
      <c r="A39" s="5">
        <v>606</v>
      </c>
      <c r="B39" s="6" t="s">
        <v>102</v>
      </c>
      <c r="C39" s="6" t="s">
        <v>103</v>
      </c>
      <c r="D39" s="5"/>
      <c r="E39" s="6"/>
      <c r="F39" s="5"/>
      <c r="G39" s="5" t="s">
        <v>101</v>
      </c>
      <c r="H39" s="3" t="s">
        <v>162</v>
      </c>
      <c r="I39" s="7">
        <v>41</v>
      </c>
      <c r="J39" s="7">
        <v>11</v>
      </c>
      <c r="K39" s="7">
        <v>52</v>
      </c>
      <c r="L39" s="5" t="s">
        <v>147</v>
      </c>
      <c r="M39" s="6"/>
      <c r="N39" s="6"/>
    </row>
    <row r="40" spans="1:14" ht="18" customHeight="1" x14ac:dyDescent="0.3">
      <c r="A40" s="2">
        <v>607</v>
      </c>
      <c r="B40" s="3" t="s">
        <v>104</v>
      </c>
      <c r="C40" s="3" t="s">
        <v>105</v>
      </c>
      <c r="D40" s="2"/>
      <c r="E40" s="3"/>
      <c r="F40" s="2"/>
      <c r="G40" s="2" t="s">
        <v>106</v>
      </c>
      <c r="H40" s="3" t="s">
        <v>162</v>
      </c>
      <c r="I40" s="4">
        <v>56</v>
      </c>
      <c r="J40" s="4">
        <v>8</v>
      </c>
      <c r="K40" s="4">
        <v>64</v>
      </c>
      <c r="L40" s="2" t="s">
        <v>147</v>
      </c>
      <c r="M40" s="3"/>
      <c r="N40" s="3"/>
    </row>
    <row r="41" spans="1:14" ht="18" customHeight="1" x14ac:dyDescent="0.3">
      <c r="A41" s="5">
        <v>608</v>
      </c>
      <c r="B41" s="6" t="s">
        <v>107</v>
      </c>
      <c r="C41" s="6" t="s">
        <v>108</v>
      </c>
      <c r="D41" s="5" t="s">
        <v>109</v>
      </c>
      <c r="E41" s="6" t="s">
        <v>148</v>
      </c>
      <c r="F41" s="5"/>
      <c r="G41" s="5" t="s">
        <v>110</v>
      </c>
      <c r="H41" s="3" t="s">
        <v>162</v>
      </c>
      <c r="I41" s="7">
        <v>85</v>
      </c>
      <c r="J41" s="7">
        <v>22</v>
      </c>
      <c r="K41" s="7">
        <v>107</v>
      </c>
      <c r="L41" s="5" t="s">
        <v>146</v>
      </c>
      <c r="M41" s="6"/>
      <c r="N41" s="6"/>
    </row>
    <row r="42" spans="1:14" ht="18" customHeight="1" x14ac:dyDescent="0.3">
      <c r="A42" s="2">
        <v>609</v>
      </c>
      <c r="B42" s="3" t="s">
        <v>102</v>
      </c>
      <c r="C42" s="3" t="s">
        <v>111</v>
      </c>
      <c r="D42" s="2" t="s">
        <v>112</v>
      </c>
      <c r="E42" s="3" t="s">
        <v>144</v>
      </c>
      <c r="F42" s="2"/>
      <c r="G42" s="2" t="s">
        <v>113</v>
      </c>
      <c r="H42" s="3" t="s">
        <v>162</v>
      </c>
      <c r="I42" s="4">
        <v>30</v>
      </c>
      <c r="J42" s="4">
        <v>20</v>
      </c>
      <c r="K42" s="4">
        <v>50</v>
      </c>
      <c r="L42" s="2" t="s">
        <v>19</v>
      </c>
      <c r="M42" s="3"/>
      <c r="N42" s="3"/>
    </row>
    <row r="43" spans="1:14" ht="18" customHeight="1" x14ac:dyDescent="0.3">
      <c r="A43" s="5">
        <v>610</v>
      </c>
      <c r="B43" s="13" t="s">
        <v>159</v>
      </c>
      <c r="C43" s="13" t="s">
        <v>161</v>
      </c>
      <c r="D43" s="5">
        <v>1826</v>
      </c>
      <c r="E43" s="6" t="s">
        <v>145</v>
      </c>
      <c r="F43" s="14" t="s">
        <v>17</v>
      </c>
      <c r="G43" s="5" t="s">
        <v>113</v>
      </c>
      <c r="H43" s="11" t="s">
        <v>135</v>
      </c>
      <c r="I43" s="7">
        <v>56</v>
      </c>
      <c r="J43" s="7">
        <v>22</v>
      </c>
      <c r="K43" s="7">
        <v>78</v>
      </c>
      <c r="L43" s="5" t="s">
        <v>19</v>
      </c>
      <c r="M43" s="6" t="s">
        <v>160</v>
      </c>
      <c r="N43" s="6"/>
    </row>
    <row r="44" spans="1:14" ht="18" customHeight="1" x14ac:dyDescent="0.3">
      <c r="A44" s="2">
        <v>611</v>
      </c>
      <c r="B44" s="3" t="s">
        <v>158</v>
      </c>
      <c r="C44" s="3" t="s">
        <v>114</v>
      </c>
      <c r="D44" s="2">
        <v>1747</v>
      </c>
      <c r="E44" s="3" t="s">
        <v>143</v>
      </c>
      <c r="F44" s="12" t="s">
        <v>17</v>
      </c>
      <c r="G44" s="2" t="s">
        <v>115</v>
      </c>
      <c r="H44" s="13" t="s">
        <v>156</v>
      </c>
      <c r="I44" s="4">
        <v>113</v>
      </c>
      <c r="J44" s="4">
        <v>19</v>
      </c>
      <c r="K44" s="4">
        <v>132</v>
      </c>
      <c r="L44" s="2" t="s">
        <v>19</v>
      </c>
      <c r="M44" s="3" t="s">
        <v>157</v>
      </c>
      <c r="N44" s="3"/>
    </row>
    <row r="45" spans="1:14" ht="18" customHeight="1" x14ac:dyDescent="0.3">
      <c r="A45" s="5">
        <v>612</v>
      </c>
      <c r="B45" s="6" t="s">
        <v>153</v>
      </c>
      <c r="C45" s="6" t="s">
        <v>154</v>
      </c>
      <c r="D45" s="5">
        <v>1780</v>
      </c>
      <c r="E45" s="15" t="s">
        <v>152</v>
      </c>
      <c r="F45" s="5" t="s">
        <v>17</v>
      </c>
      <c r="G45" s="5" t="s">
        <v>116</v>
      </c>
      <c r="H45" s="6" t="s">
        <v>28</v>
      </c>
      <c r="I45" s="7">
        <v>36</v>
      </c>
      <c r="J45" s="7">
        <v>19</v>
      </c>
      <c r="K45" s="7">
        <v>55</v>
      </c>
      <c r="L45" s="5" t="s">
        <v>146</v>
      </c>
      <c r="M45" s="6" t="s">
        <v>155</v>
      </c>
      <c r="N45" s="6"/>
    </row>
    <row r="46" spans="1:14" ht="18" customHeight="1" x14ac:dyDescent="0.3">
      <c r="A46" s="2">
        <v>613</v>
      </c>
      <c r="B46" s="3" t="s">
        <v>150</v>
      </c>
      <c r="C46" s="3" t="s">
        <v>151</v>
      </c>
      <c r="D46" s="2">
        <v>1762</v>
      </c>
      <c r="E46" s="3" t="s">
        <v>149</v>
      </c>
      <c r="F46" s="2" t="s">
        <v>17</v>
      </c>
      <c r="G46" s="2" t="s">
        <v>117</v>
      </c>
      <c r="H46" s="11" t="s">
        <v>135</v>
      </c>
      <c r="I46" s="4">
        <v>61</v>
      </c>
      <c r="J46" s="4">
        <v>22</v>
      </c>
      <c r="K46" s="4">
        <v>83</v>
      </c>
      <c r="L46" s="2" t="s">
        <v>146</v>
      </c>
      <c r="M46" s="3"/>
      <c r="N46" s="3"/>
    </row>
    <row r="47" spans="1:14" ht="18" customHeight="1" x14ac:dyDescent="0.3">
      <c r="A47" s="2">
        <v>614</v>
      </c>
      <c r="B47" s="6" t="s">
        <v>118</v>
      </c>
      <c r="C47" s="6" t="s">
        <v>164</v>
      </c>
      <c r="D47" s="5">
        <v>1904</v>
      </c>
      <c r="E47" s="6" t="s">
        <v>163</v>
      </c>
      <c r="F47" s="5" t="s">
        <v>17</v>
      </c>
      <c r="G47" s="5" t="s">
        <v>119</v>
      </c>
      <c r="H47" s="6" t="s">
        <v>120</v>
      </c>
      <c r="I47" s="7">
        <v>11</v>
      </c>
      <c r="J47" s="7">
        <v>5</v>
      </c>
      <c r="K47" s="7">
        <v>16</v>
      </c>
      <c r="L47" s="2" t="s">
        <v>146</v>
      </c>
      <c r="M47" s="3" t="s">
        <v>165</v>
      </c>
      <c r="N47" s="3"/>
    </row>
    <row r="48" spans="1:14" ht="18" customHeight="1" x14ac:dyDescent="0.3">
      <c r="A48" s="8" t="s">
        <v>121</v>
      </c>
      <c r="B48" s="9"/>
      <c r="C48" s="9"/>
      <c r="D48" s="9"/>
      <c r="E48" s="9"/>
      <c r="F48" s="9"/>
      <c r="G48" s="9"/>
      <c r="H48" s="9"/>
      <c r="I48" s="10">
        <f>SUM(I1:I47)</f>
        <v>2518</v>
      </c>
      <c r="J48" s="10">
        <f>SUM(J1:J47)</f>
        <v>598.5</v>
      </c>
      <c r="K48" s="10">
        <f>SUM(K1:K47)</f>
        <v>3116.5</v>
      </c>
      <c r="L48" s="9"/>
      <c r="M48" s="9"/>
      <c r="N48" s="9"/>
    </row>
    <row r="49" spans="1:14" ht="19.95" customHeight="1" x14ac:dyDescent="0.3">
      <c r="A49" s="5"/>
      <c r="L49" s="5"/>
      <c r="M49" s="6"/>
      <c r="N49" s="6"/>
    </row>
  </sheetData>
  <autoFilter ref="A1:N1" xr:uid="{00000000-0009-0000-0000-000000000000}">
    <sortState xmlns:xlrd2="http://schemas.microsoft.com/office/spreadsheetml/2017/richdata2" ref="A2:N49">
      <sortCondition ref="A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Mapas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Ángel</cp:lastModifiedBy>
  <dcterms:created xsi:type="dcterms:W3CDTF">2026-04-18T09:29:52Z</dcterms:created>
  <dcterms:modified xsi:type="dcterms:W3CDTF">2026-04-30T03:55:54Z</dcterms:modified>
</cp:coreProperties>
</file>