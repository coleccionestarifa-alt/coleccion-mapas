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GITHUB\coleccion-mapas\"/>
    </mc:Choice>
  </mc:AlternateContent>
  <xr:revisionPtr revIDLastSave="0" documentId="13_ncr:1_{EDA1DEFE-0B08-42A0-A152-2CD0FDB77950}" xr6:coauthVersionLast="47" xr6:coauthVersionMax="47" xr10:uidLastSave="{00000000-0000-0000-0000-000000000000}"/>
  <bookViews>
    <workbookView xWindow="-108" yWindow="-108" windowWidth="30936" windowHeight="12576" xr2:uid="{00000000-000D-0000-FFFF-FFFF00000000}"/>
  </bookViews>
  <sheets>
    <sheet name="Mapas" sheetId="1" r:id="rId1"/>
  </sheets>
  <definedNames>
    <definedName name="_xlnm._FilterDatabase" localSheetId="0" hidden="1">Mapas!$A$1:$N$1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8" i="1" l="1"/>
  <c r="J48" i="1"/>
  <c r="I48" i="1"/>
</calcChain>
</file>

<file path=xl/sharedStrings.xml><?xml version="1.0" encoding="utf-8"?>
<sst xmlns="http://schemas.openxmlformats.org/spreadsheetml/2006/main" count="305" uniqueCount="172">
  <si>
    <t>SKU</t>
  </si>
  <si>
    <t>Título</t>
  </si>
  <si>
    <t>Autor/es</t>
  </si>
  <si>
    <t>Fecha del mapa</t>
  </si>
  <si>
    <t>Dimensiones (cm)</t>
  </si>
  <si>
    <t>Coloreado</t>
  </si>
  <si>
    <t>Fecha de compra</t>
  </si>
  <si>
    <t>Vendedor</t>
  </si>
  <si>
    <t>Precio</t>
  </si>
  <si>
    <t>Portes</t>
  </si>
  <si>
    <t>Total</t>
  </si>
  <si>
    <t>Archivador</t>
  </si>
  <si>
    <t>Notas</t>
  </si>
  <si>
    <t>Anotaciones</t>
  </si>
  <si>
    <t>Inglaterra dividida en 5 partes y 52 condados</t>
  </si>
  <si>
    <t>Louis Brion De La Tour / Louis Desnos</t>
  </si>
  <si>
    <t>52 x 33</t>
  </si>
  <si>
    <t>Sí</t>
  </si>
  <si>
    <t>23/09/2020</t>
  </si>
  <si>
    <t>A2</t>
  </si>
  <si>
    <t>"Atlas général, méthodique et élémentaire pour l'étude de la géographie et de l'histoire moderne, dressé. par une Société d'ingénieurs géographes du Roi [principalement par L. Brion de La Tour]. Avec des descriptions historiques et géographiques. par M. Maclot,. Mis au jour et exécuté par le Sr Desnos.armoire......PARIS, 1798"</t>
  </si>
  <si>
    <t>Irlanda dividida en provincias</t>
  </si>
  <si>
    <t>Atlas général, méthodique et élémentaire pour l'étude de la géographie et de l'histoire moderne, dressé. par une Société d'ingénieurs géographes du Roi [principalement par L. Brion de La Tour]. Avec des descriptions historiques et géographiques. par M. Maclot,. Mis au jour et exécuté par le Sr Desnos.armoire......PARIS, 1798 Original grabado en cobre</t>
  </si>
  <si>
    <t>Mapa ANDALUZIA</t>
  </si>
  <si>
    <t>1655</t>
  </si>
  <si>
    <t>21/10/2020</t>
  </si>
  <si>
    <t>13/03/2020</t>
  </si>
  <si>
    <t>18/03/2021</t>
  </si>
  <si>
    <t>Catawiki - Elybetty</t>
  </si>
  <si>
    <t>América meridional</t>
  </si>
  <si>
    <t>Jacques Chiquet</t>
  </si>
  <si>
    <t>1701-1720</t>
  </si>
  <si>
    <t>13/02/2025</t>
  </si>
  <si>
    <t>Estrecho de Gibraltar</t>
  </si>
  <si>
    <t>Van der Aa / Alvarez de Colmenar</t>
  </si>
  <si>
    <t>08/01/2025</t>
  </si>
  <si>
    <t>Vista de Gibraltar</t>
  </si>
  <si>
    <t>Mapa de la isla de Tahití</t>
  </si>
  <si>
    <t>Jacques Rénaud Bernard</t>
  </si>
  <si>
    <t>1761-1780</t>
  </si>
  <si>
    <t>21/02/2025</t>
  </si>
  <si>
    <t>Mapa de la islas Malvinas</t>
  </si>
  <si>
    <t>Mapa Argentina Austral</t>
  </si>
  <si>
    <t>La Haye / P. de Hondt / J.N. Bellin</t>
  </si>
  <si>
    <t>28/02/2025</t>
  </si>
  <si>
    <t>Mapa Mundi Hérisson</t>
  </si>
  <si>
    <t>1801-1820</t>
  </si>
  <si>
    <t>Australia polo sur</t>
  </si>
  <si>
    <t>Desconocido 1701</t>
  </si>
  <si>
    <t>1720</t>
  </si>
  <si>
    <t>Mapa Río de la Plata</t>
  </si>
  <si>
    <t>14/03/2025</t>
  </si>
  <si>
    <t>Mapa de la Guyana</t>
  </si>
  <si>
    <t>21/03/2025</t>
  </si>
  <si>
    <t>Mapa de Sudamérica</t>
  </si>
  <si>
    <t>Isaäk Tirion</t>
  </si>
  <si>
    <t>28/03/2025</t>
  </si>
  <si>
    <t>ANTONIO ZATTA</t>
  </si>
  <si>
    <t>América del Sur</t>
  </si>
  <si>
    <t>Lapie - Malte-Brun</t>
  </si>
  <si>
    <t>03/04/2025</t>
  </si>
  <si>
    <t>Rigobert Bonne</t>
  </si>
  <si>
    <t>Mapamundi</t>
  </si>
  <si>
    <t>Hemisferio Septentrional - Desmarest &amp; Bonne</t>
  </si>
  <si>
    <t>13/03/2025</t>
  </si>
  <si>
    <t>Hemisferio Meridional - Desmarest &amp; Bonne</t>
  </si>
  <si>
    <t>Sudamerica</t>
  </si>
  <si>
    <t>ZATTA</t>
  </si>
  <si>
    <t>08/05/2025</t>
  </si>
  <si>
    <t>mapamundi</t>
  </si>
  <si>
    <t>MOUTARD</t>
  </si>
  <si>
    <t>ARGENTINA</t>
  </si>
  <si>
    <t>Estrecho de Magallanes</t>
  </si>
  <si>
    <t>14/05/2025</t>
  </si>
  <si>
    <t>Estrecho de Le Maire o San Vicente</t>
  </si>
  <si>
    <t>MOUTARD-DE LA PORTE</t>
  </si>
  <si>
    <t>Amerique Meridionale</t>
  </si>
  <si>
    <t>05/06/2025</t>
  </si>
  <si>
    <t>Mapa Estrecho de Magallanes</t>
  </si>
  <si>
    <t>Bellin</t>
  </si>
  <si>
    <t>1751-1760</t>
  </si>
  <si>
    <t>26/06/2025</t>
  </si>
  <si>
    <t>Mapa Sudamérica</t>
  </si>
  <si>
    <t>Lapie</t>
  </si>
  <si>
    <t>21/08/2025</t>
  </si>
  <si>
    <t>Argentina</t>
  </si>
  <si>
    <t>ADRIEN BRUE</t>
  </si>
  <si>
    <t>08/01/1</t>
  </si>
  <si>
    <t>Tierra de fuego</t>
  </si>
  <si>
    <t>Vivien Saint Martin</t>
  </si>
  <si>
    <t>12/09/2025</t>
  </si>
  <si>
    <t>Buenos Aires</t>
  </si>
  <si>
    <t>03/10/2025</t>
  </si>
  <si>
    <t>Tierra del Fuego / Patagonia / Chile / Argentina; A. Stieler / G.J. Perthes</t>
  </si>
  <si>
    <t>Mapa del Río de la Plata</t>
  </si>
  <si>
    <t>23/10/2025</t>
  </si>
  <si>
    <t>Sudamérica</t>
  </si>
  <si>
    <t>La Haye</t>
  </si>
  <si>
    <t>Sudamérica Meridional</t>
  </si>
  <si>
    <t>La Haye, P. de Hondt / J.N. Bellin / A.F. Prevost</t>
  </si>
  <si>
    <t>28/10/2025</t>
  </si>
  <si>
    <t>Malvinas</t>
  </si>
  <si>
    <t>BONNE &amp; DESMAREST</t>
  </si>
  <si>
    <t>1787</t>
  </si>
  <si>
    <t>25/11/2025</t>
  </si>
  <si>
    <t>S. Augustus Mitchell</t>
  </si>
  <si>
    <t>1851-1860</t>
  </si>
  <si>
    <t>20/02/2026</t>
  </si>
  <si>
    <t>Nicolas BELLIN</t>
  </si>
  <si>
    <t>03/03/2026</t>
  </si>
  <si>
    <t>13/03/2026</t>
  </si>
  <si>
    <t>07/04/2026</t>
  </si>
  <si>
    <t>Tierra Magallánica</t>
  </si>
  <si>
    <t>15/04/2026</t>
  </si>
  <si>
    <t>Ebay-Staffordshirecurious</t>
  </si>
  <si>
    <t>TOTAL</t>
  </si>
  <si>
    <t>Abraham Ortelius (autor) / Turrini (editor)</t>
  </si>
  <si>
    <t>7,5 x 10</t>
  </si>
  <si>
    <t xml:space="preserve">Página 24, mapa de Andalucía, del Atlas de Abraham Ortelius, «Theatrum orbis terrarum», de 1577, impreso en Venecia por Turrini en 1655. </t>
  </si>
  <si>
    <t>Regalado a Ana, la jueza</t>
  </si>
  <si>
    <t>25,5 x 37</t>
  </si>
  <si>
    <t>Carte de la partie Septentrionale d'Afrique ou de la Barbarie</t>
  </si>
  <si>
    <t>M. Bonne (cartógrafo) / Pellet (editor)</t>
  </si>
  <si>
    <t>Mapa original denominado «Mapa de la parte septentrional de África o de la Berbería, con los reinos de Trípoli, Túnez, Argel, Fez y Marruecos», aproximadamente de 1780, tomado del "Atlas de Toutes les Parties Connues du Globe Terrestre… », editado en Ginebra por Pellet. Cartógrafo : M. Bonne. Grabado en cobre, en una doble hoja de 25,5 x 37 cm, en la que la imagen ocupa 21 x 23 cm. Estado excelente.</t>
  </si>
  <si>
    <t>13 x 17</t>
  </si>
  <si>
    <t>Castilia Vetus et Nova - 1635</t>
  </si>
  <si>
    <t>Hondious (cartógrafo) / Merula (editor)</t>
  </si>
  <si>
    <t>Autor: Merula; Mapmaker: Hondius; Editorial: G. Blaeu; Nota: de "Cosmographiae Generalis". Grabado original en cobre.</t>
  </si>
  <si>
    <t>Catawiki - Speculum</t>
  </si>
  <si>
    <t>Catawiki - Cartographiantiqua</t>
  </si>
  <si>
    <t>Catawiki - Mapminded</t>
  </si>
  <si>
    <t>Le Détroit de Gibraltar (1707). Grabado en cobre con mapa y dos vistas de la zona del Estrecho de Gibraltar. Pieter (o Pierre) van der Aa es editor de la obra ´Les royaumes d'Espagne et de Portugal, représentés en tailles-douces tres-exactes, dessinées sur les lieux mémes, qui comprennent les principales villes, forteresses, montagnes, eglises, monastéres, maisons royales, palais …´, primero publicada en neerlandés en la ciudad de Leiden en 1707. Es un libro que contiene 165 grabados numerados con vistas y mapas de regiones y ciudades en España. Ese mismo año apareció la edición francesa de esa obra, que volvería a editarse, también en francés, en 1715 y en 1741. Muy buen estado. Papel limpio y fuerte. Jamás plegado y margenes amplios. Coloreado a mano. Dorso blanco. Imagen 12,5x15cm en hoja de 18x22cm</t>
  </si>
  <si>
    <t>18 x 22</t>
  </si>
  <si>
    <t>Vue de Gibraltar (1707). Vista de Gibraltar, tambien por Van der Aa. Imagen 12,5x15cm en hoja de 18x22cm</t>
  </si>
  <si>
    <t>69 x 55</t>
  </si>
  <si>
    <t>61 x 41</t>
  </si>
  <si>
    <t>46 X 38</t>
  </si>
  <si>
    <t>45 x 36</t>
  </si>
  <si>
    <t>38 x 32</t>
  </si>
  <si>
    <t>67 x 54</t>
  </si>
  <si>
    <t>A3</t>
  </si>
  <si>
    <t>A4</t>
  </si>
  <si>
    <t>42 x 31</t>
  </si>
  <si>
    <t>37 x 28</t>
  </si>
  <si>
    <t>Paraguay, Chili, Terre Magellan</t>
  </si>
  <si>
    <t>Robert de Vaugondy</t>
  </si>
  <si>
    <t>26 x 38,5</t>
  </si>
  <si>
    <t>Carte du Chili, depuis le Sud du Pérou jusqu'au Cap Horn</t>
  </si>
  <si>
    <t>Bonne (cartógrafo) / Raynal (editor)</t>
  </si>
  <si>
    <t>Autor: Raynal; Cartógrafo: Bonne; Editorial: Pellet, Ginebra. Nota: de "Atlas de toutes les parties connues du Globe Terrestre"</t>
  </si>
  <si>
    <t>Catawiki - th map</t>
  </si>
  <si>
    <t>"Histoire generale des Voyages ou nouvelle collection de toutes les relations de voyages par mer et par terre". Nicolas Bellin. París 1747.</t>
  </si>
  <si>
    <t>Carte de l'Ocean Meridional</t>
  </si>
  <si>
    <t>Carte du Bresil et d'une partie des pats Adjacents</t>
  </si>
  <si>
    <t>"ATLAS UNIVERSEL de Geographie Physique, Politique, Ancienne et Moderne, Contenant les Cartes Generales et Particulieres......... A PARIS, 1826 ca."</t>
  </si>
  <si>
    <t>Adrien BRUE</t>
  </si>
  <si>
    <t>Catawiki</t>
  </si>
  <si>
    <t>34,5 x 24,5</t>
  </si>
  <si>
    <t>W.S. Barclay</t>
  </si>
  <si>
    <t>Tierra de Magallanes, con información sobre tribus de Tierra del Fuego. Ejemplar de 1903 de The Geographical Journal, editado por The Royal Geographical Society, Londres.</t>
  </si>
  <si>
    <t>Estrecho de Le Maire o de San Vicente</t>
  </si>
  <si>
    <t>J.N. Bellin &amp; A.F. Prevost</t>
  </si>
  <si>
    <t>35 x 26</t>
  </si>
  <si>
    <t>Original</t>
  </si>
  <si>
    <t>37 x 26</t>
  </si>
  <si>
    <t>FOLIO, es un grabado original en cobre de 1754 (siglo XVIII).</t>
  </si>
  <si>
    <t>Islas Malvinas - Océano Atlántico Sur</t>
  </si>
  <si>
    <t>Carte de Maidenland ou de la Virginie de Hawkins, Découvere par Sir Richard Hawkins en 1574 et du Canal Falklanf ainsi appellé par le Cap.ne Jean Stron qui le traversa en 1689 sur le Farewell Vaisseu de Londres.</t>
  </si>
  <si>
    <t>Robert Bénard / Cook</t>
  </si>
  <si>
    <t>Extremitè Meridionale de l'Amerique</t>
  </si>
  <si>
    <t>"Atlas Encyclopédique, contenant la géographie ancienne, et quatre cartes sur la géographie moderne, et les cartes relatives à la géographie physique......PARÍS, 1787."</t>
  </si>
  <si>
    <t>"Atlas de L'Histoire Philosophique et Politique des Etablissements et du Commerce des Europeens dans les Deux Indes......PARÍS, 1780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</si>
</sst>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entury Gothic"/>
    </font>
    <font>
      <sz val="10"/>
      <name val="Century Gothic"/>
    </font>
    <font>
      <b/>
      <sz val="10"/>
      <name val="Century Gothic"/>
    </font>
    <font>
      <sz val="10"/>
      <name val="Century Gothic"/>
      <family val="2"/>
    </font>
  </fonts>
  <fills count="5">
    <fill>
      <patternFill patternType="none"/>
    </fill>
    <fill>
      <patternFill patternType="gray125"/>
    </fill>
    <fill>
      <patternFill patternType="solid">
        <fgColor rgb="FF2E4057"/>
      </patternFill>
    </fill>
    <fill>
      <patternFill patternType="solid">
        <fgColor rgb="FFFFFFFF"/>
      </patternFill>
    </fill>
    <fill>
      <patternFill patternType="solid">
        <fgColor rgb="FFD9E1EA"/>
      </patternFill>
    </fill>
  </fills>
  <borders count="11">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4">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3" fillId="4" borderId="1" xfId="0" applyFont="1" applyFill="1" applyBorder="1" applyAlignment="1">
      <alignment horizontal="center" vertical="center"/>
    </xf>
    <xf numFmtId="0" fontId="3" fillId="4" borderId="1" xfId="0" applyFont="1" applyFill="1" applyBorder="1"/>
    <xf numFmtId="4" fontId="3" fillId="4" borderId="1" xfId="0" applyNumberFormat="1" applyFont="1" applyFill="1" applyBorder="1" applyAlignment="1">
      <alignment horizontal="right"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1" xfId="0" applyFont="1" applyFill="1" applyBorder="1" applyAlignment="1">
      <alignment vertical="center"/>
    </xf>
    <xf numFmtId="0" fontId="2" fillId="0" borderId="3" xfId="0" applyFont="1" applyFill="1" applyBorder="1" applyAlignment="1">
      <alignment horizontal="center" vertical="center"/>
    </xf>
    <xf numFmtId="0" fontId="2" fillId="0" borderId="1" xfId="0" applyFont="1" applyFill="1" applyBorder="1" applyAlignment="1">
      <alignment horizontal="center" vertical="center"/>
    </xf>
    <xf numFmtId="0" fontId="4" fillId="0" borderId="1" xfId="0" applyFont="1" applyFill="1" applyBorder="1" applyAlignment="1">
      <alignment vertical="center"/>
    </xf>
    <xf numFmtId="4" fontId="2" fillId="0" borderId="1" xfId="0" applyNumberFormat="1" applyFont="1" applyFill="1" applyBorder="1" applyAlignment="1">
      <alignment horizontal="right" vertical="center"/>
    </xf>
    <xf numFmtId="0" fontId="2" fillId="0" borderId="4" xfId="0" applyFont="1" applyFill="1" applyBorder="1" applyAlignment="1">
      <alignment vertical="center"/>
    </xf>
    <xf numFmtId="0" fontId="0" fillId="0" borderId="0" xfId="0" applyFill="1"/>
    <xf numFmtId="0" fontId="4" fillId="0" borderId="1" xfId="0" applyFont="1" applyFill="1" applyBorder="1" applyAlignment="1">
      <alignment horizontal="center" vertical="center"/>
    </xf>
    <xf numFmtId="0" fontId="4" fillId="0" borderId="4" xfId="0" applyFont="1" applyFill="1" applyBorder="1" applyAlignment="1">
      <alignment vertical="center"/>
    </xf>
    <xf numFmtId="0" fontId="2" fillId="0" borderId="2" xfId="0" applyFont="1" applyFill="1" applyBorder="1" applyAlignment="1">
      <alignment vertical="center"/>
    </xf>
    <xf numFmtId="0" fontId="2" fillId="0" borderId="8" xfId="0" applyFont="1" applyFill="1" applyBorder="1" applyAlignment="1">
      <alignment horizontal="center" vertical="center"/>
    </xf>
    <xf numFmtId="0" fontId="2" fillId="0" borderId="9" xfId="0" applyFont="1" applyFill="1" applyBorder="1" applyAlignment="1">
      <alignment vertical="center"/>
    </xf>
    <xf numFmtId="0" fontId="2" fillId="0" borderId="9" xfId="0" applyFont="1" applyFill="1" applyBorder="1" applyAlignment="1">
      <alignment horizontal="center" vertical="center"/>
    </xf>
    <xf numFmtId="4" fontId="2" fillId="0" borderId="9" xfId="0" applyNumberFormat="1" applyFont="1" applyFill="1" applyBorder="1" applyAlignment="1">
      <alignment horizontal="right" vertical="center"/>
    </xf>
    <xf numFmtId="0" fontId="2" fillId="0" borderId="10" xfId="0" applyFont="1" applyFill="1" applyBorder="1" applyAlignment="1">
      <alignment vertical="center"/>
    </xf>
  </cellXfs>
  <cellStyles count="1">
    <cellStyle name="Normal" xfId="0" builtinId="0"/>
  </cellStyles>
  <dxfs count="18">
    <dxf>
      <fill>
        <patternFill patternType="none">
          <fgColor indexed="64"/>
          <bgColor auto="1"/>
        </patternFill>
      </fill>
    </dxf>
    <dxf>
      <font>
        <b val="0"/>
        <i val="0"/>
        <strike val="0"/>
        <condense val="0"/>
        <extend val="0"/>
        <outline val="0"/>
        <shadow val="0"/>
        <u val="none"/>
        <vertAlign val="baseline"/>
        <sz val="10"/>
        <color auto="1"/>
        <name val="Century Gothic"/>
        <scheme val="none"/>
      </font>
      <fill>
        <patternFill patternType="none">
          <fgColor indexed="64"/>
          <bgColor auto="1"/>
        </patternFill>
      </fill>
      <alignment horizontal="general"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Century Gothic"/>
        <scheme val="none"/>
      </font>
      <fill>
        <patternFill patternType="none">
          <fgColor indexed="64"/>
          <bgColor auto="1"/>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Century Gothic"/>
        <scheme val="none"/>
      </font>
      <fill>
        <patternFill patternType="none">
          <fgColor indexed="64"/>
          <bgColor auto="1"/>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Century Gothic"/>
        <scheme val="none"/>
      </font>
      <numFmt numFmtId="4" formatCode="#,##0.00"/>
      <fill>
        <patternFill patternType="none">
          <fgColor indexed="64"/>
          <bgColor auto="1"/>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Century Gothic"/>
        <scheme val="none"/>
      </font>
      <numFmt numFmtId="4" formatCode="#,##0.00"/>
      <fill>
        <patternFill patternType="none">
          <fgColor indexed="64"/>
          <bgColor auto="1"/>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Century Gothic"/>
        <scheme val="none"/>
      </font>
      <numFmt numFmtId="4" formatCode="#,##0.00"/>
      <fill>
        <patternFill patternType="none">
          <fgColor indexed="64"/>
          <bgColor auto="1"/>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none">
          <fgColor indexed="64"/>
          <bgColor auto="1"/>
        </patternFill>
      </fill>
    </dxf>
    <dxf>
      <font>
        <b val="0"/>
        <i val="0"/>
        <strike val="0"/>
        <condense val="0"/>
        <extend val="0"/>
        <outline val="0"/>
        <shadow val="0"/>
        <u val="none"/>
        <vertAlign val="baseline"/>
        <sz val="10"/>
        <color auto="1"/>
        <name val="Century Gothic"/>
        <scheme val="none"/>
      </font>
      <fill>
        <patternFill patternType="none">
          <fgColor indexed="64"/>
          <bgColor auto="1"/>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auto="1"/>
        <name val="Century Gothic"/>
        <scheme val="none"/>
      </font>
      <fill>
        <patternFill patternType="none">
          <fgColor indexed="64"/>
          <bgColor auto="1"/>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auto="1"/>
        <name val="Century Gothic"/>
        <scheme val="none"/>
      </font>
      <fill>
        <patternFill patternType="none">
          <fgColor indexed="64"/>
          <bgColor auto="1"/>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font>
        <b/>
        <i val="0"/>
        <strike val="0"/>
        <condense val="0"/>
        <extend val="0"/>
        <outline val="0"/>
        <shadow val="0"/>
        <u val="none"/>
        <vertAlign val="baseline"/>
        <sz val="11"/>
        <color rgb="FFFFFFFF"/>
        <name val="Century Gothic"/>
        <scheme val="none"/>
      </font>
      <fill>
        <patternFill patternType="solid">
          <fgColor indexed="64"/>
          <bgColor rgb="FF2E405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border outline="0">
        <bottom style="thin">
          <color rgb="FFCCCCCC"/>
        </bottom>
      </border>
    </dxf>
    <dxf>
      <border outline="0">
        <left style="thin">
          <color rgb="FFCCCCCC"/>
        </left>
        <right style="thin">
          <color rgb="FFCCCCCC"/>
        </right>
        <top style="thin">
          <color rgb="FFCCCCCC"/>
        </top>
        <bottom style="thin">
          <color rgb="FFCCCCCC"/>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2C205E-32FF-48FB-A8CF-1B1567264E25}" name="Tabla1" displayName="Tabla1" ref="A1:N47" totalsRowShown="0" headerRowDxfId="15" dataDxfId="0" headerRowBorderDxfId="16" tableBorderDxfId="17">
  <autoFilter ref="A1:N47" xr:uid="{102C205E-32FF-48FB-A8CF-1B1567264E25}"/>
  <tableColumns count="14">
    <tableColumn id="1" xr3:uid="{84883F2C-FBE0-49B0-B2A4-667ADC0551EE}" name="SKU" dataDxfId="14"/>
    <tableColumn id="2" xr3:uid="{FA0C7CC0-8F44-4596-862E-23D742C3D87C}" name="Título" dataDxfId="13"/>
    <tableColumn id="3" xr3:uid="{940B6288-0BBE-4C24-9F5A-F00B728349AE}" name="Autor/es" dataDxfId="12"/>
    <tableColumn id="4" xr3:uid="{EB339503-DADC-4498-BDD0-E2BB3AF48019}" name="Fecha del mapa" dataDxfId="11"/>
    <tableColumn id="5" xr3:uid="{3EFDA8C6-E78A-46A7-8942-28F581BC398C}" name="Dimensiones (cm)" dataDxfId="10"/>
    <tableColumn id="6" xr3:uid="{04A8DE57-680E-4FA0-8802-A35B0E5DE92A}" name="Coloreado" dataDxfId="9"/>
    <tableColumn id="7" xr3:uid="{F55CF3BD-3875-42E3-A772-0795514B31AE}" name="Fecha de compra" dataDxfId="8"/>
    <tableColumn id="8" xr3:uid="{6E6EF76B-92B3-481A-8843-C0118754E312}" name="Vendedor" dataDxfId="7"/>
    <tableColumn id="9" xr3:uid="{E523DE7F-11BD-41ED-91E0-1B21FCAA9E18}" name="Precio" dataDxfId="6"/>
    <tableColumn id="10" xr3:uid="{FAB62673-0B84-4D34-ACC2-FEF063E2634A}" name="Portes" dataDxfId="5"/>
    <tableColumn id="11" xr3:uid="{CEC4007D-7037-4039-895A-EDFFF684FE1B}" name="Total" dataDxfId="4"/>
    <tableColumn id="12" xr3:uid="{127D4E27-9485-492D-BEF8-C64A801B4DDB}" name="Archivador" dataDxfId="3"/>
    <tableColumn id="13" xr3:uid="{E8425AA7-5A64-4D68-8059-563620A2EAA8}" name="Notas" dataDxfId="2"/>
    <tableColumn id="14" xr3:uid="{55C09031-CF0F-43DE-BCAC-DE7085D7E307}" name="Anotaciones" dataDxfId="1"/>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9"/>
  <sheetViews>
    <sheetView tabSelected="1" workbookViewId="0">
      <pane ySplit="1" topLeftCell="A2" activePane="bottomLeft" state="frozen"/>
      <selection pane="bottomLeft" activeCell="C5" sqref="C5"/>
    </sheetView>
  </sheetViews>
  <sheetFormatPr baseColWidth="10" defaultColWidth="8.88671875" defaultRowHeight="14.4" x14ac:dyDescent="0.3"/>
  <cols>
    <col min="1" max="1" width="7" customWidth="1"/>
    <col min="2" max="3" width="45" customWidth="1"/>
    <col min="4" max="4" width="19.21875" customWidth="1"/>
    <col min="5" max="5" width="20.6640625" customWidth="1"/>
    <col min="6" max="6" width="13.5546875" customWidth="1"/>
    <col min="7" max="7" width="20.77734375" customWidth="1"/>
    <col min="8" max="8" width="22" customWidth="1"/>
    <col min="9" max="11" width="11" customWidth="1"/>
    <col min="12" max="12" width="13.77734375" customWidth="1"/>
    <col min="13" max="14" width="50" customWidth="1"/>
  </cols>
  <sheetData>
    <row r="1" spans="1:20" ht="30" customHeight="1" x14ac:dyDescent="0.3">
      <c r="A1" s="6" t="s">
        <v>0</v>
      </c>
      <c r="B1" s="7" t="s">
        <v>1</v>
      </c>
      <c r="C1" s="7" t="s">
        <v>2</v>
      </c>
      <c r="D1" s="7" t="s">
        <v>3</v>
      </c>
      <c r="E1" s="7" t="s">
        <v>4</v>
      </c>
      <c r="F1" s="7" t="s">
        <v>5</v>
      </c>
      <c r="G1" s="7" t="s">
        <v>6</v>
      </c>
      <c r="H1" s="7" t="s">
        <v>7</v>
      </c>
      <c r="I1" s="7" t="s">
        <v>8</v>
      </c>
      <c r="J1" s="7" t="s">
        <v>9</v>
      </c>
      <c r="K1" s="7" t="s">
        <v>10</v>
      </c>
      <c r="L1" s="7" t="s">
        <v>11</v>
      </c>
      <c r="M1" s="7" t="s">
        <v>12</v>
      </c>
      <c r="N1" s="8" t="s">
        <v>13</v>
      </c>
    </row>
    <row r="2" spans="1:20" ht="18" customHeight="1" x14ac:dyDescent="0.3">
      <c r="A2" s="10">
        <v>139</v>
      </c>
      <c r="B2" s="9" t="s">
        <v>14</v>
      </c>
      <c r="C2" s="9" t="s">
        <v>15</v>
      </c>
      <c r="D2" s="11">
        <v>1798</v>
      </c>
      <c r="E2" s="9" t="s">
        <v>16</v>
      </c>
      <c r="F2" s="11" t="s">
        <v>17</v>
      </c>
      <c r="G2" s="11" t="s">
        <v>18</v>
      </c>
      <c r="H2" s="12" t="s">
        <v>129</v>
      </c>
      <c r="I2" s="13">
        <v>28</v>
      </c>
      <c r="J2" s="13">
        <v>8</v>
      </c>
      <c r="K2" s="13">
        <v>36</v>
      </c>
      <c r="L2" s="11" t="s">
        <v>19</v>
      </c>
      <c r="M2" s="9" t="s">
        <v>20</v>
      </c>
      <c r="N2" s="14"/>
      <c r="O2" s="15"/>
      <c r="P2" s="15"/>
      <c r="Q2" s="15"/>
      <c r="R2" s="15"/>
      <c r="S2" s="15"/>
      <c r="T2" s="15"/>
    </row>
    <row r="3" spans="1:20" ht="18" customHeight="1" x14ac:dyDescent="0.3">
      <c r="A3" s="10">
        <v>140</v>
      </c>
      <c r="B3" s="9" t="s">
        <v>21</v>
      </c>
      <c r="C3" s="9" t="s">
        <v>15</v>
      </c>
      <c r="D3" s="11">
        <v>1798</v>
      </c>
      <c r="E3" s="9" t="s">
        <v>16</v>
      </c>
      <c r="F3" s="11" t="s">
        <v>17</v>
      </c>
      <c r="G3" s="11" t="s">
        <v>18</v>
      </c>
      <c r="H3" s="12" t="s">
        <v>129</v>
      </c>
      <c r="I3" s="13">
        <v>28</v>
      </c>
      <c r="J3" s="13">
        <v>8</v>
      </c>
      <c r="K3" s="13">
        <v>36</v>
      </c>
      <c r="L3" s="11" t="s">
        <v>19</v>
      </c>
      <c r="M3" s="9" t="s">
        <v>22</v>
      </c>
      <c r="N3" s="14"/>
      <c r="O3" s="15"/>
      <c r="P3" s="15"/>
      <c r="Q3" s="15"/>
      <c r="R3" s="15"/>
      <c r="S3" s="15"/>
      <c r="T3" s="15"/>
    </row>
    <row r="4" spans="1:20" ht="18" customHeight="1" x14ac:dyDescent="0.3">
      <c r="A4" s="10">
        <v>175</v>
      </c>
      <c r="B4" s="9" t="s">
        <v>23</v>
      </c>
      <c r="C4" s="12" t="s">
        <v>116</v>
      </c>
      <c r="D4" s="11" t="s">
        <v>24</v>
      </c>
      <c r="E4" s="12" t="s">
        <v>117</v>
      </c>
      <c r="F4" s="16" t="s">
        <v>17</v>
      </c>
      <c r="G4" s="11" t="s">
        <v>25</v>
      </c>
      <c r="H4" s="12" t="s">
        <v>128</v>
      </c>
      <c r="I4" s="13">
        <v>69</v>
      </c>
      <c r="J4" s="13">
        <v>16</v>
      </c>
      <c r="K4" s="13">
        <v>85</v>
      </c>
      <c r="L4" s="11"/>
      <c r="M4" s="12" t="s">
        <v>118</v>
      </c>
      <c r="N4" s="17" t="s">
        <v>119</v>
      </c>
      <c r="O4" s="15"/>
      <c r="P4" s="15"/>
      <c r="Q4" s="15"/>
      <c r="R4" s="15"/>
      <c r="S4" s="15"/>
      <c r="T4" s="15"/>
    </row>
    <row r="5" spans="1:20" ht="18" customHeight="1" x14ac:dyDescent="0.3">
      <c r="A5" s="10">
        <v>219</v>
      </c>
      <c r="B5" s="9" t="s">
        <v>121</v>
      </c>
      <c r="C5" s="12" t="s">
        <v>122</v>
      </c>
      <c r="D5" s="11">
        <v>1780</v>
      </c>
      <c r="E5" s="12" t="s">
        <v>120</v>
      </c>
      <c r="F5" s="16" t="s">
        <v>17</v>
      </c>
      <c r="G5" s="11" t="s">
        <v>26</v>
      </c>
      <c r="H5" s="9" t="s">
        <v>28</v>
      </c>
      <c r="I5" s="13">
        <v>30</v>
      </c>
      <c r="J5" s="13">
        <v>15</v>
      </c>
      <c r="K5" s="13">
        <v>45</v>
      </c>
      <c r="L5" s="11" t="s">
        <v>140</v>
      </c>
      <c r="M5" s="12" t="s">
        <v>123</v>
      </c>
      <c r="N5" s="14"/>
      <c r="O5" s="15"/>
      <c r="P5" s="15"/>
      <c r="Q5" s="15"/>
      <c r="R5" s="15"/>
      <c r="S5" s="15"/>
      <c r="T5" s="15"/>
    </row>
    <row r="6" spans="1:20" ht="18" customHeight="1" x14ac:dyDescent="0.3">
      <c r="A6" s="10">
        <v>230</v>
      </c>
      <c r="B6" s="9" t="s">
        <v>125</v>
      </c>
      <c r="C6" s="12" t="s">
        <v>126</v>
      </c>
      <c r="D6" s="11">
        <v>1635</v>
      </c>
      <c r="E6" s="12" t="s">
        <v>124</v>
      </c>
      <c r="F6" s="16" t="s">
        <v>17</v>
      </c>
      <c r="G6" s="11" t="s">
        <v>27</v>
      </c>
      <c r="H6" s="9" t="s">
        <v>28</v>
      </c>
      <c r="I6" s="13">
        <v>45</v>
      </c>
      <c r="J6" s="13">
        <v>15</v>
      </c>
      <c r="K6" s="13">
        <v>60</v>
      </c>
      <c r="L6" s="11"/>
      <c r="M6" s="12" t="s">
        <v>127</v>
      </c>
      <c r="N6" s="14"/>
      <c r="O6" s="15"/>
      <c r="P6" s="15"/>
      <c r="Q6" s="15"/>
      <c r="R6" s="15"/>
      <c r="S6" s="15"/>
      <c r="T6" s="15"/>
    </row>
    <row r="7" spans="1:20" ht="18" customHeight="1" x14ac:dyDescent="0.3">
      <c r="A7" s="10">
        <v>574</v>
      </c>
      <c r="B7" s="9" t="s">
        <v>29</v>
      </c>
      <c r="C7" s="9" t="s">
        <v>30</v>
      </c>
      <c r="D7" s="11" t="s">
        <v>31</v>
      </c>
      <c r="E7" s="9"/>
      <c r="F7" s="11"/>
      <c r="G7" s="11" t="s">
        <v>32</v>
      </c>
      <c r="H7" s="9" t="s">
        <v>156</v>
      </c>
      <c r="I7" s="13">
        <v>74</v>
      </c>
      <c r="J7" s="13">
        <v>22</v>
      </c>
      <c r="K7" s="13">
        <v>96</v>
      </c>
      <c r="L7" s="11" t="s">
        <v>141</v>
      </c>
      <c r="M7" s="9"/>
      <c r="N7" s="14"/>
      <c r="O7" s="15"/>
      <c r="P7" s="15"/>
      <c r="Q7" s="15"/>
      <c r="R7" s="15"/>
      <c r="S7" s="15"/>
      <c r="T7" s="15"/>
    </row>
    <row r="8" spans="1:20" ht="18" customHeight="1" x14ac:dyDescent="0.3">
      <c r="A8" s="10">
        <v>575</v>
      </c>
      <c r="B8" s="9" t="s">
        <v>33</v>
      </c>
      <c r="C8" s="9" t="s">
        <v>34</v>
      </c>
      <c r="D8" s="11" t="s">
        <v>31</v>
      </c>
      <c r="E8" s="12" t="s">
        <v>132</v>
      </c>
      <c r="F8" s="16" t="s">
        <v>17</v>
      </c>
      <c r="G8" s="11" t="s">
        <v>35</v>
      </c>
      <c r="H8" s="12" t="s">
        <v>130</v>
      </c>
      <c r="I8" s="13">
        <v>34</v>
      </c>
      <c r="J8" s="13">
        <v>4</v>
      </c>
      <c r="K8" s="13">
        <v>38</v>
      </c>
      <c r="L8" s="11"/>
      <c r="M8" s="9" t="s">
        <v>131</v>
      </c>
      <c r="N8" s="14"/>
      <c r="O8" s="15"/>
      <c r="P8" s="15"/>
      <c r="Q8" s="15"/>
      <c r="R8" s="15"/>
      <c r="S8" s="15"/>
      <c r="T8" s="15"/>
    </row>
    <row r="9" spans="1:20" ht="18" customHeight="1" x14ac:dyDescent="0.3">
      <c r="A9" s="10">
        <v>576</v>
      </c>
      <c r="B9" s="9" t="s">
        <v>36</v>
      </c>
      <c r="C9" s="9" t="s">
        <v>34</v>
      </c>
      <c r="D9" s="11" t="s">
        <v>31</v>
      </c>
      <c r="E9" s="12" t="s">
        <v>132</v>
      </c>
      <c r="F9" s="16" t="s">
        <v>17</v>
      </c>
      <c r="G9" s="11" t="s">
        <v>35</v>
      </c>
      <c r="H9" s="12" t="s">
        <v>130</v>
      </c>
      <c r="I9" s="13">
        <v>34</v>
      </c>
      <c r="J9" s="13">
        <v>4</v>
      </c>
      <c r="K9" s="13">
        <v>38</v>
      </c>
      <c r="L9" s="11"/>
      <c r="M9" s="9" t="s">
        <v>133</v>
      </c>
      <c r="N9" s="14"/>
      <c r="O9" s="15"/>
      <c r="P9" s="15"/>
      <c r="Q9" s="15"/>
      <c r="R9" s="15"/>
      <c r="S9" s="15"/>
      <c r="T9" s="15"/>
    </row>
    <row r="10" spans="1:20" ht="18" customHeight="1" x14ac:dyDescent="0.3">
      <c r="A10" s="10">
        <v>577</v>
      </c>
      <c r="B10" s="9" t="s">
        <v>37</v>
      </c>
      <c r="C10" s="9" t="s">
        <v>38</v>
      </c>
      <c r="D10" s="11" t="s">
        <v>39</v>
      </c>
      <c r="E10" s="9"/>
      <c r="F10" s="11"/>
      <c r="G10" s="11" t="s">
        <v>40</v>
      </c>
      <c r="H10" s="9" t="s">
        <v>156</v>
      </c>
      <c r="I10" s="13">
        <v>56</v>
      </c>
      <c r="J10" s="13">
        <v>8</v>
      </c>
      <c r="K10" s="13">
        <v>64</v>
      </c>
      <c r="L10" s="11" t="s">
        <v>19</v>
      </c>
      <c r="M10" s="9"/>
      <c r="N10" s="14"/>
      <c r="O10" s="15"/>
      <c r="P10" s="15"/>
      <c r="Q10" s="15"/>
      <c r="R10" s="15"/>
      <c r="S10" s="15"/>
      <c r="T10" s="15"/>
    </row>
    <row r="11" spans="1:20" ht="18" customHeight="1" x14ac:dyDescent="0.3">
      <c r="A11" s="10">
        <v>578</v>
      </c>
      <c r="B11" s="9" t="s">
        <v>41</v>
      </c>
      <c r="C11" s="9" t="s">
        <v>38</v>
      </c>
      <c r="D11" s="11" t="s">
        <v>39</v>
      </c>
      <c r="E11" s="9"/>
      <c r="F11" s="11"/>
      <c r="G11" s="11" t="s">
        <v>40</v>
      </c>
      <c r="H11" s="9" t="s">
        <v>156</v>
      </c>
      <c r="I11" s="13">
        <v>56</v>
      </c>
      <c r="J11" s="13">
        <v>8</v>
      </c>
      <c r="K11" s="13">
        <v>64</v>
      </c>
      <c r="L11" s="11" t="s">
        <v>19</v>
      </c>
      <c r="M11" s="9"/>
      <c r="N11" s="14"/>
      <c r="O11" s="15"/>
      <c r="P11" s="15"/>
      <c r="Q11" s="15"/>
      <c r="R11" s="15"/>
      <c r="S11" s="15"/>
      <c r="T11" s="15"/>
    </row>
    <row r="12" spans="1:20" ht="18" customHeight="1" x14ac:dyDescent="0.3">
      <c r="A12" s="10">
        <v>579</v>
      </c>
      <c r="B12" s="9" t="s">
        <v>42</v>
      </c>
      <c r="C12" s="9" t="s">
        <v>43</v>
      </c>
      <c r="D12" s="11"/>
      <c r="E12" s="9"/>
      <c r="F12" s="11"/>
      <c r="G12" s="11" t="s">
        <v>44</v>
      </c>
      <c r="H12" s="9" t="s">
        <v>156</v>
      </c>
      <c r="I12" s="13">
        <v>142</v>
      </c>
      <c r="J12" s="13">
        <v>11</v>
      </c>
      <c r="K12" s="13">
        <v>153</v>
      </c>
      <c r="L12" s="11" t="s">
        <v>19</v>
      </c>
      <c r="M12" s="9"/>
      <c r="N12" s="14"/>
      <c r="O12" s="15"/>
      <c r="P12" s="15"/>
      <c r="Q12" s="15"/>
      <c r="R12" s="15"/>
      <c r="S12" s="15"/>
      <c r="T12" s="15"/>
    </row>
    <row r="13" spans="1:20" ht="18" customHeight="1" x14ac:dyDescent="0.3">
      <c r="A13" s="10">
        <v>580</v>
      </c>
      <c r="B13" s="9" t="s">
        <v>160</v>
      </c>
      <c r="C13" s="9" t="s">
        <v>161</v>
      </c>
      <c r="D13" s="11">
        <v>1754</v>
      </c>
      <c r="E13" s="9" t="s">
        <v>162</v>
      </c>
      <c r="F13" s="11" t="s">
        <v>163</v>
      </c>
      <c r="G13" s="11" t="s">
        <v>44</v>
      </c>
      <c r="H13" s="9" t="s">
        <v>156</v>
      </c>
      <c r="I13" s="13">
        <v>40</v>
      </c>
      <c r="J13" s="13">
        <v>11</v>
      </c>
      <c r="K13" s="13">
        <v>51</v>
      </c>
      <c r="L13" s="11" t="s">
        <v>140</v>
      </c>
      <c r="M13" s="9"/>
      <c r="N13" s="14"/>
      <c r="O13" s="15"/>
      <c r="P13" s="15"/>
      <c r="Q13" s="15"/>
      <c r="R13" s="15"/>
      <c r="S13" s="15"/>
      <c r="T13" s="15"/>
    </row>
    <row r="14" spans="1:20" ht="18" customHeight="1" x14ac:dyDescent="0.3">
      <c r="A14" s="10">
        <v>581</v>
      </c>
      <c r="B14" s="9" t="s">
        <v>45</v>
      </c>
      <c r="C14" s="9"/>
      <c r="D14" s="11" t="s">
        <v>46</v>
      </c>
      <c r="E14" s="9"/>
      <c r="F14" s="11"/>
      <c r="G14" s="11" t="s">
        <v>44</v>
      </c>
      <c r="H14" s="9" t="s">
        <v>156</v>
      </c>
      <c r="I14" s="13">
        <v>90</v>
      </c>
      <c r="J14" s="13">
        <v>20</v>
      </c>
      <c r="K14" s="13">
        <v>110</v>
      </c>
      <c r="L14" s="11" t="s">
        <v>141</v>
      </c>
      <c r="M14" s="9"/>
      <c r="N14" s="14"/>
      <c r="O14" s="15"/>
      <c r="P14" s="15"/>
      <c r="Q14" s="15"/>
      <c r="R14" s="15"/>
      <c r="S14" s="15"/>
      <c r="T14" s="15"/>
    </row>
    <row r="15" spans="1:20" ht="18" customHeight="1" x14ac:dyDescent="0.3">
      <c r="A15" s="10">
        <v>582</v>
      </c>
      <c r="B15" s="9" t="s">
        <v>47</v>
      </c>
      <c r="C15" s="9" t="s">
        <v>48</v>
      </c>
      <c r="D15" s="11" t="s">
        <v>49</v>
      </c>
      <c r="E15" s="9"/>
      <c r="F15" s="11"/>
      <c r="G15" s="11" t="s">
        <v>40</v>
      </c>
      <c r="H15" s="9" t="s">
        <v>156</v>
      </c>
      <c r="I15" s="13">
        <v>112</v>
      </c>
      <c r="J15" s="13">
        <v>20</v>
      </c>
      <c r="K15" s="13">
        <v>132</v>
      </c>
      <c r="L15" s="11" t="s">
        <v>141</v>
      </c>
      <c r="M15" s="9"/>
      <c r="N15" s="14"/>
      <c r="O15" s="15"/>
      <c r="P15" s="15"/>
      <c r="Q15" s="15"/>
      <c r="R15" s="15"/>
      <c r="S15" s="15"/>
      <c r="T15" s="15"/>
    </row>
    <row r="16" spans="1:20" ht="18" customHeight="1" x14ac:dyDescent="0.3">
      <c r="A16" s="10">
        <v>583</v>
      </c>
      <c r="B16" s="9" t="s">
        <v>50</v>
      </c>
      <c r="C16" s="9" t="s">
        <v>161</v>
      </c>
      <c r="D16" s="11">
        <v>1754</v>
      </c>
      <c r="E16" s="9" t="s">
        <v>164</v>
      </c>
      <c r="F16" s="11" t="s">
        <v>17</v>
      </c>
      <c r="G16" s="11" t="s">
        <v>51</v>
      </c>
      <c r="H16" s="12" t="s">
        <v>129</v>
      </c>
      <c r="I16" s="13">
        <v>24</v>
      </c>
      <c r="J16" s="13"/>
      <c r="K16" s="13">
        <v>24</v>
      </c>
      <c r="L16" s="11" t="s">
        <v>140</v>
      </c>
      <c r="M16" s="9" t="s">
        <v>165</v>
      </c>
      <c r="N16" s="14"/>
      <c r="O16" s="15"/>
      <c r="P16" s="15"/>
      <c r="Q16" s="15"/>
      <c r="R16" s="15"/>
      <c r="S16" s="15"/>
      <c r="T16" s="15"/>
    </row>
    <row r="17" spans="1:20" ht="18" customHeight="1" x14ac:dyDescent="0.3">
      <c r="A17" s="10">
        <v>584</v>
      </c>
      <c r="B17" s="9" t="s">
        <v>52</v>
      </c>
      <c r="C17" s="9" t="s">
        <v>161</v>
      </c>
      <c r="D17" s="11">
        <v>1754</v>
      </c>
      <c r="E17" s="9" t="s">
        <v>164</v>
      </c>
      <c r="F17" s="11" t="s">
        <v>17</v>
      </c>
      <c r="G17" s="11" t="s">
        <v>51</v>
      </c>
      <c r="H17" s="12" t="s">
        <v>129</v>
      </c>
      <c r="I17" s="13">
        <v>24</v>
      </c>
      <c r="J17" s="13"/>
      <c r="K17" s="13">
        <v>24</v>
      </c>
      <c r="L17" s="11" t="s">
        <v>140</v>
      </c>
      <c r="M17" s="9" t="s">
        <v>165</v>
      </c>
      <c r="N17" s="14"/>
      <c r="O17" s="15"/>
      <c r="P17" s="15"/>
      <c r="Q17" s="15"/>
      <c r="R17" s="15"/>
      <c r="S17" s="15"/>
      <c r="T17" s="15"/>
    </row>
    <row r="18" spans="1:20" ht="18" customHeight="1" x14ac:dyDescent="0.3">
      <c r="A18" s="10">
        <v>585</v>
      </c>
      <c r="B18" s="9" t="s">
        <v>166</v>
      </c>
      <c r="C18" s="9" t="s">
        <v>168</v>
      </c>
      <c r="D18" s="11">
        <v>1774</v>
      </c>
      <c r="E18" s="9" t="s">
        <v>120</v>
      </c>
      <c r="F18" s="11" t="s">
        <v>17</v>
      </c>
      <c r="G18" s="11" t="s">
        <v>53</v>
      </c>
      <c r="H18" s="9" t="s">
        <v>156</v>
      </c>
      <c r="I18" s="13">
        <v>30</v>
      </c>
      <c r="J18" s="13">
        <v>7.5</v>
      </c>
      <c r="K18" s="13">
        <v>37.5</v>
      </c>
      <c r="L18" s="11" t="s">
        <v>140</v>
      </c>
      <c r="M18" s="9" t="s">
        <v>167</v>
      </c>
      <c r="N18" s="14"/>
      <c r="O18" s="15"/>
      <c r="P18" s="15"/>
      <c r="Q18" s="15"/>
      <c r="R18" s="15"/>
      <c r="S18" s="15"/>
      <c r="T18" s="15"/>
    </row>
    <row r="19" spans="1:20" ht="18" customHeight="1" x14ac:dyDescent="0.3">
      <c r="A19" s="10">
        <v>586</v>
      </c>
      <c r="B19" s="9" t="s">
        <v>54</v>
      </c>
      <c r="C19" s="9" t="s">
        <v>55</v>
      </c>
      <c r="D19" s="11"/>
      <c r="E19" s="9"/>
      <c r="F19" s="11"/>
      <c r="G19" s="11" t="s">
        <v>56</v>
      </c>
      <c r="H19" s="9" t="s">
        <v>156</v>
      </c>
      <c r="I19" s="13">
        <v>91</v>
      </c>
      <c r="J19" s="13">
        <v>16</v>
      </c>
      <c r="K19" s="13">
        <v>107</v>
      </c>
      <c r="L19" s="11" t="s">
        <v>19</v>
      </c>
      <c r="M19" s="9"/>
      <c r="N19" s="14"/>
      <c r="O19" s="15"/>
      <c r="P19" s="15"/>
      <c r="Q19" s="15"/>
      <c r="R19" s="15"/>
      <c r="S19" s="15"/>
      <c r="T19" s="15"/>
    </row>
    <row r="20" spans="1:20" ht="18" customHeight="1" x14ac:dyDescent="0.3">
      <c r="A20" s="10">
        <v>587</v>
      </c>
      <c r="B20" s="9" t="s">
        <v>54</v>
      </c>
      <c r="C20" s="9" t="s">
        <v>57</v>
      </c>
      <c r="D20" s="11"/>
      <c r="E20" s="9"/>
      <c r="F20" s="11"/>
      <c r="G20" s="11" t="s">
        <v>56</v>
      </c>
      <c r="H20" s="9" t="s">
        <v>156</v>
      </c>
      <c r="I20" s="13">
        <v>91</v>
      </c>
      <c r="J20" s="13">
        <v>22</v>
      </c>
      <c r="K20" s="13">
        <v>113</v>
      </c>
      <c r="L20" s="11" t="s">
        <v>19</v>
      </c>
      <c r="M20" s="9"/>
      <c r="N20" s="14"/>
      <c r="O20" s="15"/>
      <c r="P20" s="15"/>
      <c r="Q20" s="15"/>
      <c r="R20" s="15"/>
      <c r="S20" s="15"/>
      <c r="T20" s="15"/>
    </row>
    <row r="21" spans="1:20" ht="18" customHeight="1" x14ac:dyDescent="0.3">
      <c r="A21" s="10">
        <v>588</v>
      </c>
      <c r="B21" s="9" t="s">
        <v>169</v>
      </c>
      <c r="C21" s="9" t="s">
        <v>102</v>
      </c>
      <c r="D21" s="11">
        <v>1787</v>
      </c>
      <c r="E21" s="9" t="s">
        <v>142</v>
      </c>
      <c r="F21" s="11" t="s">
        <v>17</v>
      </c>
      <c r="G21" s="11" t="s">
        <v>60</v>
      </c>
      <c r="H21" s="9" t="s">
        <v>129</v>
      </c>
      <c r="I21" s="13">
        <v>112</v>
      </c>
      <c r="J21" s="13">
        <v>11</v>
      </c>
      <c r="K21" s="13">
        <v>123</v>
      </c>
      <c r="L21" s="11" t="s">
        <v>140</v>
      </c>
      <c r="M21" s="9" t="s">
        <v>170</v>
      </c>
      <c r="N21" s="14"/>
      <c r="O21" s="15"/>
      <c r="P21" s="15"/>
      <c r="Q21" s="15"/>
      <c r="R21" s="15"/>
      <c r="S21" s="15"/>
      <c r="T21" s="15"/>
    </row>
    <row r="22" spans="1:20" ht="18" customHeight="1" x14ac:dyDescent="0.3">
      <c r="A22" s="10">
        <v>589</v>
      </c>
      <c r="B22" s="9" t="s">
        <v>58</v>
      </c>
      <c r="C22" s="9" t="s">
        <v>61</v>
      </c>
      <c r="D22" s="11">
        <v>1780</v>
      </c>
      <c r="E22" s="9" t="s">
        <v>164</v>
      </c>
      <c r="F22" s="11" t="s">
        <v>17</v>
      </c>
      <c r="G22" s="11" t="s">
        <v>60</v>
      </c>
      <c r="H22" s="9" t="s">
        <v>129</v>
      </c>
      <c r="I22" s="13">
        <v>51</v>
      </c>
      <c r="J22" s="13">
        <v>11</v>
      </c>
      <c r="K22" s="13">
        <v>62</v>
      </c>
      <c r="L22" s="11" t="s">
        <v>140</v>
      </c>
      <c r="M22" s="9" t="s">
        <v>171</v>
      </c>
      <c r="N22" s="14"/>
      <c r="O22" s="15"/>
      <c r="P22" s="15"/>
      <c r="Q22" s="15"/>
      <c r="R22" s="15"/>
      <c r="S22" s="15"/>
      <c r="T22" s="15"/>
    </row>
    <row r="23" spans="1:20" ht="18" customHeight="1" x14ac:dyDescent="0.3">
      <c r="A23" s="10">
        <v>590</v>
      </c>
      <c r="B23" s="9" t="s">
        <v>62</v>
      </c>
      <c r="C23" s="9" t="s">
        <v>63</v>
      </c>
      <c r="D23" s="11"/>
      <c r="E23" s="9"/>
      <c r="F23" s="11"/>
      <c r="G23" s="11" t="s">
        <v>64</v>
      </c>
      <c r="H23" s="9" t="s">
        <v>156</v>
      </c>
      <c r="I23" s="13">
        <v>28</v>
      </c>
      <c r="J23" s="13"/>
      <c r="K23" s="13">
        <v>28</v>
      </c>
      <c r="L23" s="11" t="s">
        <v>19</v>
      </c>
      <c r="M23" s="9"/>
      <c r="N23" s="14"/>
      <c r="O23" s="15"/>
      <c r="P23" s="15"/>
      <c r="Q23" s="15"/>
      <c r="R23" s="15"/>
      <c r="S23" s="15"/>
      <c r="T23" s="15"/>
    </row>
    <row r="24" spans="1:20" ht="18" customHeight="1" x14ac:dyDescent="0.3">
      <c r="A24" s="10">
        <v>591</v>
      </c>
      <c r="B24" s="9" t="s">
        <v>62</v>
      </c>
      <c r="C24" s="9" t="s">
        <v>65</v>
      </c>
      <c r="D24" s="11"/>
      <c r="E24" s="9"/>
      <c r="F24" s="11"/>
      <c r="G24" s="11" t="s">
        <v>64</v>
      </c>
      <c r="H24" s="9" t="s">
        <v>156</v>
      </c>
      <c r="I24" s="13">
        <v>28</v>
      </c>
      <c r="J24" s="13"/>
      <c r="K24" s="13">
        <v>28</v>
      </c>
      <c r="L24" s="11" t="s">
        <v>19</v>
      </c>
      <c r="M24" s="9"/>
      <c r="N24" s="14"/>
      <c r="O24" s="15"/>
      <c r="P24" s="15"/>
      <c r="Q24" s="15"/>
      <c r="R24" s="15"/>
      <c r="S24" s="15"/>
      <c r="T24" s="15"/>
    </row>
    <row r="25" spans="1:20" ht="18" customHeight="1" x14ac:dyDescent="0.3">
      <c r="A25" s="10">
        <v>592</v>
      </c>
      <c r="B25" s="9" t="s">
        <v>58</v>
      </c>
      <c r="C25" s="9" t="s">
        <v>59</v>
      </c>
      <c r="D25" s="11"/>
      <c r="E25" s="9"/>
      <c r="F25" s="11"/>
      <c r="G25" s="11"/>
      <c r="H25" s="9" t="s">
        <v>156</v>
      </c>
      <c r="I25" s="13">
        <v>112</v>
      </c>
      <c r="J25" s="13">
        <v>22</v>
      </c>
      <c r="K25" s="13">
        <v>134</v>
      </c>
      <c r="L25" s="11" t="s">
        <v>140</v>
      </c>
      <c r="M25" s="9"/>
      <c r="N25" s="14"/>
      <c r="O25" s="15"/>
      <c r="P25" s="15"/>
      <c r="Q25" s="15"/>
      <c r="R25" s="15"/>
      <c r="S25" s="15"/>
      <c r="T25" s="15"/>
    </row>
    <row r="26" spans="1:20" ht="18" customHeight="1" x14ac:dyDescent="0.3">
      <c r="A26" s="10">
        <v>593</v>
      </c>
      <c r="B26" s="9" t="s">
        <v>66</v>
      </c>
      <c r="C26" s="9" t="s">
        <v>67</v>
      </c>
      <c r="D26" s="11"/>
      <c r="E26" s="9"/>
      <c r="F26" s="11"/>
      <c r="G26" s="11" t="s">
        <v>68</v>
      </c>
      <c r="H26" s="9" t="s">
        <v>156</v>
      </c>
      <c r="I26" s="13">
        <v>106</v>
      </c>
      <c r="J26" s="13">
        <v>11</v>
      </c>
      <c r="K26" s="13">
        <v>117</v>
      </c>
      <c r="L26" s="11" t="s">
        <v>19</v>
      </c>
      <c r="M26" s="9"/>
      <c r="N26" s="14"/>
      <c r="O26" s="15"/>
      <c r="P26" s="15"/>
      <c r="Q26" s="15"/>
      <c r="R26" s="15"/>
      <c r="S26" s="15"/>
      <c r="T26" s="15"/>
    </row>
    <row r="27" spans="1:20" ht="18" customHeight="1" x14ac:dyDescent="0.3">
      <c r="A27" s="10">
        <v>594</v>
      </c>
      <c r="B27" s="9" t="s">
        <v>69</v>
      </c>
      <c r="C27" s="9" t="s">
        <v>70</v>
      </c>
      <c r="D27" s="11"/>
      <c r="E27" s="9"/>
      <c r="F27" s="11"/>
      <c r="G27" s="11" t="s">
        <v>68</v>
      </c>
      <c r="H27" s="9" t="s">
        <v>156</v>
      </c>
      <c r="I27" s="13">
        <v>83</v>
      </c>
      <c r="J27" s="13">
        <v>11</v>
      </c>
      <c r="K27" s="13">
        <v>94</v>
      </c>
      <c r="L27" s="11" t="s">
        <v>141</v>
      </c>
      <c r="M27" s="9"/>
      <c r="N27" s="14"/>
      <c r="O27" s="15"/>
      <c r="P27" s="15"/>
      <c r="Q27" s="15"/>
      <c r="R27" s="15"/>
      <c r="S27" s="15"/>
      <c r="T27" s="15"/>
    </row>
    <row r="28" spans="1:20" ht="18" customHeight="1" x14ac:dyDescent="0.3">
      <c r="A28" s="10">
        <v>595</v>
      </c>
      <c r="B28" s="9" t="s">
        <v>71</v>
      </c>
      <c r="C28" s="9" t="s">
        <v>72</v>
      </c>
      <c r="D28" s="11"/>
      <c r="E28" s="9"/>
      <c r="F28" s="11"/>
      <c r="G28" s="11" t="s">
        <v>73</v>
      </c>
      <c r="H28" s="9" t="s">
        <v>156</v>
      </c>
      <c r="I28" s="13">
        <v>13</v>
      </c>
      <c r="J28" s="13">
        <v>6</v>
      </c>
      <c r="K28" s="13">
        <v>19</v>
      </c>
      <c r="L28" s="11" t="s">
        <v>140</v>
      </c>
      <c r="M28" s="9"/>
      <c r="N28" s="14"/>
      <c r="O28" s="15"/>
      <c r="P28" s="15"/>
      <c r="Q28" s="15"/>
      <c r="R28" s="15"/>
      <c r="S28" s="15"/>
      <c r="T28" s="15"/>
    </row>
    <row r="29" spans="1:20" ht="18" customHeight="1" x14ac:dyDescent="0.3">
      <c r="A29" s="10">
        <v>596</v>
      </c>
      <c r="B29" s="9" t="s">
        <v>71</v>
      </c>
      <c r="C29" s="9" t="s">
        <v>74</v>
      </c>
      <c r="D29" s="11"/>
      <c r="E29" s="9"/>
      <c r="F29" s="11"/>
      <c r="G29" s="11" t="s">
        <v>73</v>
      </c>
      <c r="H29" s="9" t="s">
        <v>156</v>
      </c>
      <c r="I29" s="13">
        <v>13</v>
      </c>
      <c r="J29" s="13">
        <v>6</v>
      </c>
      <c r="K29" s="13">
        <v>19</v>
      </c>
      <c r="L29" s="11" t="s">
        <v>140</v>
      </c>
      <c r="M29" s="9"/>
      <c r="N29" s="14"/>
      <c r="O29" s="15"/>
      <c r="P29" s="15"/>
      <c r="Q29" s="15"/>
      <c r="R29" s="15"/>
      <c r="S29" s="15"/>
      <c r="T29" s="15"/>
    </row>
    <row r="30" spans="1:20" ht="18" customHeight="1" x14ac:dyDescent="0.3">
      <c r="A30" s="10">
        <v>597</v>
      </c>
      <c r="B30" s="9" t="s">
        <v>71</v>
      </c>
      <c r="C30" s="9" t="s">
        <v>75</v>
      </c>
      <c r="D30" s="11"/>
      <c r="E30" s="9"/>
      <c r="F30" s="11"/>
      <c r="G30" s="11" t="s">
        <v>73</v>
      </c>
      <c r="H30" s="9" t="s">
        <v>156</v>
      </c>
      <c r="I30" s="13">
        <v>56</v>
      </c>
      <c r="J30" s="13">
        <v>11</v>
      </c>
      <c r="K30" s="13">
        <v>67</v>
      </c>
      <c r="L30" s="11" t="s">
        <v>141</v>
      </c>
      <c r="M30" s="9"/>
      <c r="N30" s="14"/>
      <c r="O30" s="15"/>
      <c r="P30" s="15"/>
      <c r="Q30" s="15"/>
      <c r="R30" s="15"/>
      <c r="S30" s="15"/>
      <c r="T30" s="15"/>
    </row>
    <row r="31" spans="1:20" ht="18" customHeight="1" x14ac:dyDescent="0.3">
      <c r="A31" s="10">
        <v>598</v>
      </c>
      <c r="B31" s="9" t="s">
        <v>61</v>
      </c>
      <c r="C31" s="9" t="s">
        <v>76</v>
      </c>
      <c r="D31" s="11" t="s">
        <v>39</v>
      </c>
      <c r="E31" s="9"/>
      <c r="F31" s="11"/>
      <c r="G31" s="11" t="s">
        <v>77</v>
      </c>
      <c r="H31" s="9" t="s">
        <v>156</v>
      </c>
      <c r="I31" s="13">
        <v>30</v>
      </c>
      <c r="J31" s="13">
        <v>28</v>
      </c>
      <c r="K31" s="13">
        <v>58</v>
      </c>
      <c r="L31" s="11" t="s">
        <v>140</v>
      </c>
      <c r="M31" s="9"/>
      <c r="N31" s="14"/>
      <c r="O31" s="15"/>
      <c r="P31" s="15"/>
      <c r="Q31" s="15"/>
      <c r="R31" s="15"/>
      <c r="S31" s="15"/>
      <c r="T31" s="15"/>
    </row>
    <row r="32" spans="1:20" ht="18" customHeight="1" x14ac:dyDescent="0.3">
      <c r="A32" s="10">
        <v>599</v>
      </c>
      <c r="B32" s="9" t="s">
        <v>78</v>
      </c>
      <c r="C32" s="9" t="s">
        <v>79</v>
      </c>
      <c r="D32" s="11" t="s">
        <v>80</v>
      </c>
      <c r="E32" s="9"/>
      <c r="F32" s="11"/>
      <c r="G32" s="11" t="s">
        <v>81</v>
      </c>
      <c r="H32" s="9" t="s">
        <v>156</v>
      </c>
      <c r="I32" s="13">
        <v>73</v>
      </c>
      <c r="J32" s="13">
        <v>19</v>
      </c>
      <c r="K32" s="13">
        <v>92</v>
      </c>
      <c r="L32" s="11"/>
      <c r="M32" s="9"/>
      <c r="N32" s="14"/>
      <c r="O32" s="15"/>
      <c r="P32" s="15"/>
      <c r="Q32" s="15"/>
      <c r="R32" s="15"/>
      <c r="S32" s="15"/>
      <c r="T32" s="15"/>
    </row>
    <row r="33" spans="1:20" ht="18" customHeight="1" x14ac:dyDescent="0.3">
      <c r="A33" s="10">
        <v>600</v>
      </c>
      <c r="B33" s="9" t="s">
        <v>82</v>
      </c>
      <c r="C33" s="9" t="s">
        <v>83</v>
      </c>
      <c r="D33" s="11"/>
      <c r="E33" s="9"/>
      <c r="F33" s="11"/>
      <c r="G33" s="11" t="s">
        <v>84</v>
      </c>
      <c r="H33" s="9" t="s">
        <v>156</v>
      </c>
      <c r="I33" s="13">
        <v>30</v>
      </c>
      <c r="J33" s="13">
        <v>22</v>
      </c>
      <c r="K33" s="13">
        <v>52</v>
      </c>
      <c r="L33" s="11" t="s">
        <v>140</v>
      </c>
      <c r="M33" s="9"/>
      <c r="N33" s="14"/>
      <c r="O33" s="15"/>
      <c r="P33" s="15"/>
      <c r="Q33" s="15"/>
      <c r="R33" s="15"/>
      <c r="S33" s="15"/>
      <c r="T33" s="15"/>
    </row>
    <row r="34" spans="1:20" ht="18" customHeight="1" x14ac:dyDescent="0.3">
      <c r="A34" s="10">
        <v>601</v>
      </c>
      <c r="B34" s="9" t="s">
        <v>85</v>
      </c>
      <c r="C34" s="9" t="s">
        <v>86</v>
      </c>
      <c r="D34" s="11"/>
      <c r="E34" s="9"/>
      <c r="F34" s="11"/>
      <c r="G34" s="11" t="s">
        <v>87</v>
      </c>
      <c r="H34" s="9" t="s">
        <v>156</v>
      </c>
      <c r="I34" s="13">
        <v>44</v>
      </c>
      <c r="J34" s="13">
        <v>11</v>
      </c>
      <c r="K34" s="13">
        <v>55</v>
      </c>
      <c r="L34" s="11" t="s">
        <v>19</v>
      </c>
      <c r="M34" s="9"/>
      <c r="N34" s="14"/>
      <c r="O34" s="15"/>
      <c r="P34" s="15"/>
      <c r="Q34" s="15"/>
      <c r="R34" s="15"/>
      <c r="S34" s="15"/>
      <c r="T34" s="15"/>
    </row>
    <row r="35" spans="1:20" ht="18" customHeight="1" x14ac:dyDescent="0.3">
      <c r="A35" s="10">
        <v>602</v>
      </c>
      <c r="B35" s="9" t="s">
        <v>88</v>
      </c>
      <c r="C35" s="9" t="s">
        <v>89</v>
      </c>
      <c r="D35" s="11"/>
      <c r="E35" s="9" t="s">
        <v>134</v>
      </c>
      <c r="F35" s="11"/>
      <c r="G35" s="11" t="s">
        <v>90</v>
      </c>
      <c r="H35" s="9" t="s">
        <v>156</v>
      </c>
      <c r="I35" s="13">
        <v>44</v>
      </c>
      <c r="J35" s="13">
        <v>11</v>
      </c>
      <c r="K35" s="13">
        <v>55</v>
      </c>
      <c r="L35" s="11" t="s">
        <v>19</v>
      </c>
      <c r="M35" s="9"/>
      <c r="N35" s="14"/>
      <c r="O35" s="15"/>
      <c r="P35" s="15"/>
      <c r="Q35" s="15"/>
      <c r="R35" s="15"/>
      <c r="S35" s="15"/>
      <c r="T35" s="15"/>
    </row>
    <row r="36" spans="1:20" ht="18" customHeight="1" x14ac:dyDescent="0.3">
      <c r="A36" s="10">
        <v>603</v>
      </c>
      <c r="B36" s="9" t="s">
        <v>91</v>
      </c>
      <c r="C36" s="9" t="s">
        <v>89</v>
      </c>
      <c r="D36" s="11"/>
      <c r="E36" s="9" t="s">
        <v>135</v>
      </c>
      <c r="F36" s="11"/>
      <c r="G36" s="11" t="s">
        <v>92</v>
      </c>
      <c r="H36" s="9" t="s">
        <v>156</v>
      </c>
      <c r="I36" s="13">
        <v>7</v>
      </c>
      <c r="J36" s="13">
        <v>22</v>
      </c>
      <c r="K36" s="13">
        <v>29</v>
      </c>
      <c r="L36" s="11" t="s">
        <v>19</v>
      </c>
      <c r="M36" s="9"/>
      <c r="N36" s="14"/>
      <c r="O36" s="15"/>
      <c r="P36" s="15"/>
      <c r="Q36" s="15"/>
      <c r="R36" s="15"/>
      <c r="S36" s="15"/>
      <c r="T36" s="15"/>
    </row>
    <row r="37" spans="1:20" ht="18" customHeight="1" x14ac:dyDescent="0.3">
      <c r="A37" s="10">
        <v>604</v>
      </c>
      <c r="B37" s="9" t="s">
        <v>93</v>
      </c>
      <c r="C37" s="9"/>
      <c r="D37" s="11"/>
      <c r="E37" s="9" t="s">
        <v>136</v>
      </c>
      <c r="F37" s="11"/>
      <c r="G37" s="11"/>
      <c r="H37" s="9" t="s">
        <v>156</v>
      </c>
      <c r="I37" s="13">
        <v>48</v>
      </c>
      <c r="J37" s="13">
        <v>22</v>
      </c>
      <c r="K37" s="13">
        <v>70</v>
      </c>
      <c r="L37" s="11" t="s">
        <v>19</v>
      </c>
      <c r="M37" s="9"/>
      <c r="N37" s="14"/>
      <c r="O37" s="15"/>
      <c r="P37" s="15"/>
      <c r="Q37" s="15"/>
      <c r="R37" s="15"/>
      <c r="S37" s="15"/>
      <c r="T37" s="15"/>
    </row>
    <row r="38" spans="1:20" ht="18" customHeight="1" x14ac:dyDescent="0.3">
      <c r="A38" s="10">
        <v>605</v>
      </c>
      <c r="B38" s="9" t="s">
        <v>94</v>
      </c>
      <c r="C38" s="9"/>
      <c r="D38" s="11"/>
      <c r="E38" s="9"/>
      <c r="F38" s="11"/>
      <c r="G38" s="11" t="s">
        <v>95</v>
      </c>
      <c r="H38" s="9" t="s">
        <v>156</v>
      </c>
      <c r="I38" s="13">
        <v>53</v>
      </c>
      <c r="J38" s="13">
        <v>11</v>
      </c>
      <c r="K38" s="13">
        <v>64</v>
      </c>
      <c r="L38" s="11" t="s">
        <v>140</v>
      </c>
      <c r="M38" s="9"/>
      <c r="N38" s="14"/>
      <c r="O38" s="15"/>
      <c r="P38" s="15"/>
      <c r="Q38" s="15"/>
      <c r="R38" s="15"/>
      <c r="S38" s="15"/>
      <c r="T38" s="15"/>
    </row>
    <row r="39" spans="1:20" ht="18" customHeight="1" x14ac:dyDescent="0.3">
      <c r="A39" s="10">
        <v>606</v>
      </c>
      <c r="B39" s="9" t="s">
        <v>96</v>
      </c>
      <c r="C39" s="9" t="s">
        <v>97</v>
      </c>
      <c r="D39" s="11"/>
      <c r="E39" s="9"/>
      <c r="F39" s="11"/>
      <c r="G39" s="11" t="s">
        <v>95</v>
      </c>
      <c r="H39" s="9" t="s">
        <v>156</v>
      </c>
      <c r="I39" s="13">
        <v>41</v>
      </c>
      <c r="J39" s="13">
        <v>11</v>
      </c>
      <c r="K39" s="13">
        <v>52</v>
      </c>
      <c r="L39" s="11" t="s">
        <v>141</v>
      </c>
      <c r="M39" s="9"/>
      <c r="N39" s="14"/>
      <c r="O39" s="15"/>
      <c r="P39" s="15"/>
      <c r="Q39" s="15"/>
      <c r="R39" s="15"/>
      <c r="S39" s="15"/>
      <c r="T39" s="15"/>
    </row>
    <row r="40" spans="1:20" ht="18" customHeight="1" x14ac:dyDescent="0.3">
      <c r="A40" s="10">
        <v>607</v>
      </c>
      <c r="B40" s="9" t="s">
        <v>98</v>
      </c>
      <c r="C40" s="9" t="s">
        <v>99</v>
      </c>
      <c r="D40" s="11"/>
      <c r="E40" s="9"/>
      <c r="F40" s="11"/>
      <c r="G40" s="11" t="s">
        <v>100</v>
      </c>
      <c r="H40" s="9" t="s">
        <v>156</v>
      </c>
      <c r="I40" s="13">
        <v>56</v>
      </c>
      <c r="J40" s="13">
        <v>8</v>
      </c>
      <c r="K40" s="13">
        <v>64</v>
      </c>
      <c r="L40" s="11" t="s">
        <v>141</v>
      </c>
      <c r="M40" s="9"/>
      <c r="N40" s="14"/>
      <c r="O40" s="15"/>
      <c r="P40" s="15"/>
      <c r="Q40" s="15"/>
      <c r="R40" s="15"/>
      <c r="S40" s="15"/>
      <c r="T40" s="15"/>
    </row>
    <row r="41" spans="1:20" ht="18" customHeight="1" x14ac:dyDescent="0.3">
      <c r="A41" s="10">
        <v>608</v>
      </c>
      <c r="B41" s="9" t="s">
        <v>101</v>
      </c>
      <c r="C41" s="9" t="s">
        <v>102</v>
      </c>
      <c r="D41" s="11" t="s">
        <v>103</v>
      </c>
      <c r="E41" s="9" t="s">
        <v>142</v>
      </c>
      <c r="F41" s="11"/>
      <c r="G41" s="11" t="s">
        <v>104</v>
      </c>
      <c r="H41" s="9" t="s">
        <v>156</v>
      </c>
      <c r="I41" s="13">
        <v>85</v>
      </c>
      <c r="J41" s="13">
        <v>22</v>
      </c>
      <c r="K41" s="13">
        <v>107</v>
      </c>
      <c r="L41" s="11" t="s">
        <v>140</v>
      </c>
      <c r="M41" s="9"/>
      <c r="N41" s="14"/>
      <c r="O41" s="15"/>
      <c r="P41" s="15"/>
      <c r="Q41" s="15"/>
      <c r="R41" s="15"/>
      <c r="S41" s="15"/>
      <c r="T41" s="15"/>
    </row>
    <row r="42" spans="1:20" ht="18" customHeight="1" x14ac:dyDescent="0.3">
      <c r="A42" s="10">
        <v>609</v>
      </c>
      <c r="B42" s="9" t="s">
        <v>96</v>
      </c>
      <c r="C42" s="9" t="s">
        <v>105</v>
      </c>
      <c r="D42" s="11" t="s">
        <v>106</v>
      </c>
      <c r="E42" s="9" t="s">
        <v>138</v>
      </c>
      <c r="F42" s="11"/>
      <c r="G42" s="11" t="s">
        <v>107</v>
      </c>
      <c r="H42" s="9" t="s">
        <v>156</v>
      </c>
      <c r="I42" s="13">
        <v>30</v>
      </c>
      <c r="J42" s="13">
        <v>20</v>
      </c>
      <c r="K42" s="13">
        <v>50</v>
      </c>
      <c r="L42" s="11" t="s">
        <v>19</v>
      </c>
      <c r="M42" s="9"/>
      <c r="N42" s="14"/>
      <c r="O42" s="15"/>
      <c r="P42" s="15"/>
      <c r="Q42" s="15"/>
      <c r="R42" s="15"/>
      <c r="S42" s="15"/>
      <c r="T42" s="15"/>
    </row>
    <row r="43" spans="1:20" ht="18" customHeight="1" x14ac:dyDescent="0.3">
      <c r="A43" s="10">
        <v>610</v>
      </c>
      <c r="B43" s="12" t="s">
        <v>153</v>
      </c>
      <c r="C43" s="12" t="s">
        <v>155</v>
      </c>
      <c r="D43" s="11">
        <v>1826</v>
      </c>
      <c r="E43" s="9" t="s">
        <v>139</v>
      </c>
      <c r="F43" s="16" t="s">
        <v>17</v>
      </c>
      <c r="G43" s="11" t="s">
        <v>107</v>
      </c>
      <c r="H43" s="12" t="s">
        <v>129</v>
      </c>
      <c r="I43" s="13">
        <v>56</v>
      </c>
      <c r="J43" s="13">
        <v>22</v>
      </c>
      <c r="K43" s="13">
        <v>78</v>
      </c>
      <c r="L43" s="11" t="s">
        <v>19</v>
      </c>
      <c r="M43" s="9" t="s">
        <v>154</v>
      </c>
      <c r="N43" s="14"/>
      <c r="O43" s="15"/>
      <c r="P43" s="15"/>
      <c r="Q43" s="15"/>
      <c r="R43" s="15"/>
      <c r="S43" s="15"/>
      <c r="T43" s="15"/>
    </row>
    <row r="44" spans="1:20" ht="18" customHeight="1" x14ac:dyDescent="0.3">
      <c r="A44" s="10">
        <v>611</v>
      </c>
      <c r="B44" s="9" t="s">
        <v>152</v>
      </c>
      <c r="C44" s="9" t="s">
        <v>108</v>
      </c>
      <c r="D44" s="11">
        <v>1747</v>
      </c>
      <c r="E44" s="9" t="s">
        <v>137</v>
      </c>
      <c r="F44" s="16" t="s">
        <v>17</v>
      </c>
      <c r="G44" s="11" t="s">
        <v>109</v>
      </c>
      <c r="H44" s="12" t="s">
        <v>150</v>
      </c>
      <c r="I44" s="13">
        <v>113</v>
      </c>
      <c r="J44" s="13">
        <v>19</v>
      </c>
      <c r="K44" s="13">
        <v>132</v>
      </c>
      <c r="L44" s="11" t="s">
        <v>19</v>
      </c>
      <c r="M44" s="9" t="s">
        <v>151</v>
      </c>
      <c r="N44" s="14"/>
      <c r="O44" s="15"/>
      <c r="P44" s="15"/>
      <c r="Q44" s="15"/>
      <c r="R44" s="15"/>
      <c r="S44" s="15"/>
      <c r="T44" s="15"/>
    </row>
    <row r="45" spans="1:20" ht="18" customHeight="1" x14ac:dyDescent="0.3">
      <c r="A45" s="10">
        <v>612</v>
      </c>
      <c r="B45" s="9" t="s">
        <v>147</v>
      </c>
      <c r="C45" s="9" t="s">
        <v>148</v>
      </c>
      <c r="D45" s="11">
        <v>1780</v>
      </c>
      <c r="E45" s="18" t="s">
        <v>146</v>
      </c>
      <c r="F45" s="11" t="s">
        <v>17</v>
      </c>
      <c r="G45" s="11" t="s">
        <v>110</v>
      </c>
      <c r="H45" s="9" t="s">
        <v>28</v>
      </c>
      <c r="I45" s="13">
        <v>36</v>
      </c>
      <c r="J45" s="13">
        <v>19</v>
      </c>
      <c r="K45" s="13">
        <v>55</v>
      </c>
      <c r="L45" s="11" t="s">
        <v>140</v>
      </c>
      <c r="M45" s="9" t="s">
        <v>149</v>
      </c>
      <c r="N45" s="14"/>
      <c r="O45" s="15"/>
      <c r="P45" s="15"/>
      <c r="Q45" s="15"/>
      <c r="R45" s="15"/>
      <c r="S45" s="15"/>
      <c r="T45" s="15"/>
    </row>
    <row r="46" spans="1:20" ht="18" customHeight="1" x14ac:dyDescent="0.3">
      <c r="A46" s="10">
        <v>613</v>
      </c>
      <c r="B46" s="9" t="s">
        <v>144</v>
      </c>
      <c r="C46" s="9" t="s">
        <v>145</v>
      </c>
      <c r="D46" s="11">
        <v>1762</v>
      </c>
      <c r="E46" s="9" t="s">
        <v>143</v>
      </c>
      <c r="F46" s="11" t="s">
        <v>17</v>
      </c>
      <c r="G46" s="11" t="s">
        <v>111</v>
      </c>
      <c r="H46" s="12" t="s">
        <v>129</v>
      </c>
      <c r="I46" s="13">
        <v>61</v>
      </c>
      <c r="J46" s="13">
        <v>22</v>
      </c>
      <c r="K46" s="13">
        <v>83</v>
      </c>
      <c r="L46" s="11" t="s">
        <v>140</v>
      </c>
      <c r="M46" s="9"/>
      <c r="N46" s="14"/>
      <c r="O46" s="15"/>
      <c r="P46" s="15"/>
      <c r="Q46" s="15"/>
      <c r="R46" s="15"/>
      <c r="S46" s="15"/>
      <c r="T46" s="15"/>
    </row>
    <row r="47" spans="1:20" ht="18" customHeight="1" x14ac:dyDescent="0.3">
      <c r="A47" s="19">
        <v>614</v>
      </c>
      <c r="B47" s="20" t="s">
        <v>112</v>
      </c>
      <c r="C47" s="20" t="s">
        <v>158</v>
      </c>
      <c r="D47" s="21">
        <v>1904</v>
      </c>
      <c r="E47" s="20" t="s">
        <v>157</v>
      </c>
      <c r="F47" s="21" t="s">
        <v>17</v>
      </c>
      <c r="G47" s="21" t="s">
        <v>113</v>
      </c>
      <c r="H47" s="20" t="s">
        <v>114</v>
      </c>
      <c r="I47" s="22">
        <v>11</v>
      </c>
      <c r="J47" s="22">
        <v>5</v>
      </c>
      <c r="K47" s="22">
        <v>16</v>
      </c>
      <c r="L47" s="21" t="s">
        <v>140</v>
      </c>
      <c r="M47" s="20" t="s">
        <v>159</v>
      </c>
      <c r="N47" s="23"/>
      <c r="O47" s="15"/>
      <c r="P47" s="15"/>
      <c r="Q47" s="15"/>
      <c r="R47" s="15"/>
      <c r="S47" s="15"/>
      <c r="T47" s="15"/>
    </row>
    <row r="48" spans="1:20" ht="18" customHeight="1" x14ac:dyDescent="0.3">
      <c r="A48" s="3" t="s">
        <v>115</v>
      </c>
      <c r="B48" s="4"/>
      <c r="C48" s="4"/>
      <c r="D48" s="4"/>
      <c r="E48" s="4"/>
      <c r="F48" s="4"/>
      <c r="G48" s="4"/>
      <c r="H48" s="4"/>
      <c r="I48" s="5">
        <f>SUM(I1:I47)</f>
        <v>2518</v>
      </c>
      <c r="J48" s="5">
        <f>SUM(J1:J47)</f>
        <v>598.5</v>
      </c>
      <c r="K48" s="5">
        <f>SUM(K1:K47)</f>
        <v>3116.5</v>
      </c>
      <c r="L48" s="4"/>
      <c r="M48" s="4"/>
      <c r="N48" s="4"/>
    </row>
    <row r="49" spans="1:14" ht="19.95" customHeight="1" x14ac:dyDescent="0.3">
      <c r="A49" s="1"/>
      <c r="L49" s="1"/>
      <c r="M49" s="2"/>
      <c r="N49" s="2"/>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Mapas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Ángel</cp:lastModifiedBy>
  <dcterms:created xsi:type="dcterms:W3CDTF">2026-04-18T09:29:52Z</dcterms:created>
  <dcterms:modified xsi:type="dcterms:W3CDTF">2026-04-30T09:28:18Z</dcterms:modified>
</cp:coreProperties>
</file>